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768f52468b18036/Documents/Uni/Steve/Black Box Capstone/Results/"/>
    </mc:Choice>
  </mc:AlternateContent>
  <xr:revisionPtr revIDLastSave="1020" documentId="8_{43173D7C-89D0-4969-A7AC-03F5BA9E0D7E}" xr6:coauthVersionLast="47" xr6:coauthVersionMax="47" xr10:uidLastSave="{BD5E94F2-5742-4C64-BA44-BA788D464D03}"/>
  <bookViews>
    <workbookView xWindow="25040" yWindow="3330" windowWidth="12870" windowHeight="15370" xr2:uid="{692A08C7-1192-47B9-A3D3-A7D328C67CBF}"/>
  </bookViews>
  <sheets>
    <sheet name="Data Pts" sheetId="1" r:id="rId1"/>
    <sheet name="Functions" sheetId="3" r:id="rId2"/>
    <sheet name="Track" sheetId="2" r:id="rId3"/>
    <sheet name="Live" sheetId="4" r:id="rId4"/>
  </sheets>
  <definedNames>
    <definedName name="_xlnm._FilterDatabase" localSheetId="2" hidden="1">Track!$A$1:$K$33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32" i="2" l="1"/>
  <c r="J130" i="2"/>
  <c r="J132" i="2" s="1"/>
  <c r="I130" i="2"/>
  <c r="I132" i="2" s="1"/>
  <c r="H130" i="2"/>
  <c r="H132" i="2" s="1"/>
  <c r="G130" i="2"/>
  <c r="G132" i="2" s="1"/>
  <c r="F130" i="2"/>
  <c r="F132" i="2" s="1"/>
  <c r="E130" i="2"/>
  <c r="E132" i="2" s="1"/>
  <c r="D130" i="2"/>
  <c r="D132" i="2" s="1"/>
  <c r="D116" i="2"/>
  <c r="C116" i="2" l="1"/>
  <c r="J114" i="2"/>
  <c r="J116" i="2" s="1"/>
  <c r="I114" i="2"/>
  <c r="I116" i="2" s="1"/>
  <c r="H114" i="2"/>
  <c r="H116" i="2" s="1"/>
  <c r="G114" i="2"/>
  <c r="G116" i="2" s="1"/>
  <c r="F114" i="2"/>
  <c r="F116" i="2" s="1"/>
  <c r="E114" i="2"/>
  <c r="E116" i="2" s="1"/>
  <c r="D114" i="2"/>
  <c r="C100" i="2"/>
  <c r="J98" i="2"/>
  <c r="J100" i="2" s="1"/>
  <c r="I98" i="2"/>
  <c r="I100" i="2" s="1"/>
  <c r="H98" i="2"/>
  <c r="H100" i="2" s="1"/>
  <c r="G98" i="2"/>
  <c r="G100" i="2" s="1"/>
  <c r="F98" i="2"/>
  <c r="F100" i="2" s="1"/>
  <c r="E98" i="2"/>
  <c r="E100" i="2" s="1"/>
  <c r="D98" i="2"/>
  <c r="D100" i="2" s="1"/>
  <c r="J82" i="2"/>
  <c r="I82" i="2"/>
  <c r="I84" i="2" s="1"/>
  <c r="H82" i="2"/>
  <c r="G82" i="2"/>
  <c r="G84" i="2" s="1"/>
  <c r="F82" i="2"/>
  <c r="F84" i="2" s="1"/>
  <c r="E82" i="2"/>
  <c r="E84" i="2" s="1"/>
  <c r="D82" i="2"/>
  <c r="D84" i="2" s="1"/>
  <c r="I66" i="2"/>
  <c r="J84" i="2"/>
  <c r="H84" i="2"/>
  <c r="C84" i="2"/>
  <c r="E66" i="2"/>
  <c r="J68" i="2"/>
  <c r="I68" i="2"/>
  <c r="F68" i="2"/>
  <c r="D68" i="2"/>
  <c r="H66" i="2"/>
  <c r="G66" i="2"/>
  <c r="C66" i="2"/>
  <c r="C50" i="2"/>
  <c r="H50" i="2"/>
  <c r="G50" i="2"/>
  <c r="E50" i="2"/>
  <c r="J52" i="2"/>
  <c r="I52" i="2"/>
  <c r="F52" i="2"/>
  <c r="D52" i="2"/>
  <c r="C36" i="2"/>
  <c r="J36" i="2"/>
  <c r="I36" i="2"/>
  <c r="H36" i="2"/>
  <c r="G36" i="2"/>
  <c r="F36" i="2"/>
  <c r="E36" i="2"/>
  <c r="D36" i="2"/>
  <c r="J20" i="2"/>
  <c r="I20" i="2"/>
  <c r="H20" i="2"/>
  <c r="G20" i="2"/>
  <c r="F20" i="2"/>
  <c r="E20" i="2"/>
  <c r="D20" i="2"/>
  <c r="D4" i="2"/>
  <c r="J4" i="2"/>
  <c r="I4" i="2"/>
  <c r="H4" i="2"/>
  <c r="G4" i="2"/>
  <c r="F4" i="2"/>
  <c r="E4" i="2"/>
  <c r="H68" i="2" l="1"/>
  <c r="E68" i="2"/>
  <c r="C68" i="2"/>
  <c r="G68" i="2"/>
  <c r="E52" i="2"/>
  <c r="H52" i="2"/>
  <c r="G52" i="2"/>
  <c r="C52" i="2"/>
</calcChain>
</file>

<file path=xl/sharedStrings.xml><?xml version="1.0" encoding="utf-8"?>
<sst xmlns="http://schemas.openxmlformats.org/spreadsheetml/2006/main" count="403" uniqueCount="158">
  <si>
    <t>Function 1</t>
  </si>
  <si>
    <t>Function 2</t>
  </si>
  <si>
    <t>Function 3</t>
  </si>
  <si>
    <t>Function 4</t>
  </si>
  <si>
    <t>Function 5</t>
  </si>
  <si>
    <t>Function 6</t>
  </si>
  <si>
    <t>Function 7</t>
  </si>
  <si>
    <t>Function 8</t>
  </si>
  <si>
    <t>[0.31313131 0.33333333]</t>
  </si>
  <si>
    <t>[0.70707071 0.        ]</t>
  </si>
  <si>
    <t>[0.2753844  0.20365887 0.82719443]</t>
  </si>
  <si>
    <t>[0.4327631  0.44940123 0.41278834 0.44115361]</t>
  </si>
  <si>
    <t>[0.66618209 0.74939183 0.99938557 0.99530062]</t>
  </si>
  <si>
    <t>[0.37678923 0.20207867 0.53760032 0.93202591 0.16909258]</t>
  </si>
  <si>
    <t>[0.04538338 0.00276334 0.23633866 0.48640516 0.3847066  0.68931175]</t>
  </si>
  <si>
    <t>[0.04000871 0.08986311 0.10958075 0.3480449  0.98723759 0.60430685  0.21955604 0.17201449]</t>
  </si>
  <si>
    <t>Method</t>
  </si>
  <si>
    <t>Xi</t>
  </si>
  <si>
    <t>Length Strength</t>
  </si>
  <si>
    <t>X[1]</t>
  </si>
  <si>
    <t>X[2]</t>
  </si>
  <si>
    <t>X[3]</t>
  </si>
  <si>
    <t>X[4]</t>
  </si>
  <si>
    <t>X[5]</t>
  </si>
  <si>
    <t>X[6]</t>
  </si>
  <si>
    <t>X[7]</t>
  </si>
  <si>
    <t>X[8]</t>
  </si>
  <si>
    <t>Current Best</t>
  </si>
  <si>
    <t>Expected Improvement</t>
  </si>
  <si>
    <t>7.710875 e-16</t>
  </si>
  <si>
    <t>2.155807 e-25</t>
  </si>
  <si>
    <t>Kernel amplitude</t>
  </si>
  <si>
    <t>RBF EI</t>
  </si>
  <si>
    <t>Actual Improvement</t>
  </si>
  <si>
    <t>[0.51515152 0.87878788]</t>
  </si>
  <si>
    <t>[0.68686869 0.        ]</t>
  </si>
  <si>
    <t>[0.11056667 0.31237446 0.45866929]</t>
  </si>
  <si>
    <t>[0.44266931 0.45803463 0.31648679 0.46719299]</t>
  </si>
  <si>
    <t>[0.40328893 0.4707552  0.9876183  0.99752957]</t>
  </si>
  <si>
    <t>[0.10788048 0.54100436 0.34259055 0.9350505  0.30754282]</t>
  </si>
  <si>
    <t>[0.02004286 0.87375552 0.27483713 0.60971876 0.35774174 0.67924147]</t>
  </si>
  <si>
    <t>[0.11720181 0.13910158 0.29379691 0.08209266 0.91911534 0.1938058  0.07154144 0.03607435]</t>
  </si>
  <si>
    <t>Descriptions of functions</t>
  </si>
  <si>
    <t>Function</t>
  </si>
  <si>
    <t>Input</t>
  </si>
  <si>
    <t>Output</t>
  </si>
  <si>
    <t>Optimisation goal</t>
  </si>
  <si>
    <t>Descriptions of sample applications</t>
  </si>
  <si>
    <t>2D array </t>
  </si>
  <si>
    <t>1D array </t>
  </si>
  <si>
    <t>Maximise</t>
  </si>
  <si>
    <t>Detect likely contamination sources in a two-dimensional area, such as a radiation field, where only proximity yields a non-zero reading. The system uses Bayesian optimisation to tune detection parameters and reliably identify both strong and weak sources.</t>
  </si>
  <si>
    <t>Imagine a black box, or a mystery ML model, that takes two numbers as input and returns a log-likelihood score. Your goal is to maximise that score, but each output is noisy, and depending on where you start, you might get stuck in a local optimum. </t>
  </si>
  <si>
    <t>To tackle this, you use Bayesian optimisation, which selects the next inputs based on what it has learned so far. It balances exploration with exploitation, making it well suited to noisy outputs and complex functions with many local peaks.</t>
  </si>
  <si>
    <t>3D array </t>
  </si>
  <si>
    <t>You’re working on a drug discovery project, testing combinations of three compounds to create a new medicine.</t>
  </si>
  <si>
    <t>Your goal is to minimise side effects; in this competition, it is framed as maximisation by optimising a transformed output (e.g. the negative of side effects). </t>
  </si>
  <si>
    <t>4D </t>
  </si>
  <si>
    <t>1D </t>
  </si>
  <si>
    <t>Address the challenge of optimally placing products across warehouses for a business with high online sales, where accurate calculations are costly and only feasible biweekly. To speed up decision-making, an ML model approximates these results within hours. The model has four hyperparameters to tune, and its output reflects the difference from the expensive baseline. Because the system is dynamic and full of local optima, it requires careful tuning and robust validation to find reliable, near-optimal solutions.</t>
  </si>
  <si>
    <t>4D array </t>
  </si>
  <si>
    <t>You’re tasked with optimising a four-variable black-box function that represents the yield of a chemical process in a factory. The function is typically unimodal, with a single peak where yield is maximised. </t>
  </si>
  <si>
    <t>Your goal is to find the optimal combination of chemical inputs that delivers the highest possible yield, using systematic exploration and optimisation methods.</t>
  </si>
  <si>
    <t>5D </t>
  </si>
  <si>
    <t>You’re optimising a cake recipe using a black-box function with five ingredient inputs, for example flour, sugar, eggs, butter and milk. Each recipe is evaluated with a combined score based on flavour, consistency, calories, waste and cost, where each factor contributes negative points as judged by an expert taster. This means the total score is negative by design. </t>
  </si>
  <si>
    <t>To frame this as a maximisation problem, your goal is to bring that score as close to zero as possible or, equivalently, to maximise the negative of the total sum.</t>
  </si>
  <si>
    <t>6D </t>
  </si>
  <si>
    <t>You’re tasked with optimising an ML model by tuning six hyperparameters, for example learning rate, regularisation strength or number of hidden layers. The function you’re maximising is the model’s performance score (such as accuracy or F1), but since the relationship between inputs and output isn’t known, it’s treated as a black-box function. </t>
  </si>
  <si>
    <t>Because this is a commonly used model, you might benefit from researching best practices or literature to guide your initial search space. Your goal is to find the combination of hyperparameters that yields the highest possible performance.</t>
  </si>
  <si>
    <t>8D </t>
  </si>
  <si>
    <t>You’re optimising an eight-dimensional black-box function, where each of the eight input parameters affects the output, but the internal mechanics are unknown. </t>
  </si>
  <si>
    <t>Your objective is to find the parameter combination that maximises the function’s output, such as performance, efficiency or validation accuracy. Because the function is high-dimensional and likely complex, global optimisation is hard, so identifying strong local maxima is often a practical strategy.</t>
  </si>
  <si>
    <t>For example, imagine you’re tuning an ML model with eight hyperparameters: learning rate, batch size, number of layers, dropout rate, regularisation strength, activation function (numerically encoded), optimiser type (encoded) and initial weight range. Each input set returns a single validation accuracy score between 0 and 1. Your goal is to maximise this score.</t>
  </si>
  <si>
    <r>
      <t>Each experiment is stored in </t>
    </r>
    <r>
      <rPr>
        <sz val="8"/>
        <color rgb="FF000000"/>
        <rFont val="Consolas"/>
        <family val="3"/>
      </rPr>
      <t>initial_inputs.npy</t>
    </r>
    <r>
      <rPr>
        <sz val="8"/>
        <color rgb="FF000000"/>
        <rFont val="Arial"/>
        <family val="2"/>
      </rPr>
      <t> as a 3D array, where each row lists the amounts of the three compounds used. After each experiment, you record the number of adverse reactions, stored in </t>
    </r>
    <r>
      <rPr>
        <sz val="8"/>
        <color rgb="FF000000"/>
        <rFont val="Consolas"/>
        <family val="3"/>
      </rPr>
      <t>initial_outputs.npy</t>
    </r>
    <r>
      <rPr>
        <sz val="8"/>
        <color rgb="FF000000"/>
        <rFont val="Arial"/>
        <family val="2"/>
      </rPr>
      <t> as a 1D array.</t>
    </r>
  </si>
  <si>
    <t>Dimension</t>
  </si>
  <si>
    <t>Type</t>
  </si>
  <si>
    <t>Float</t>
  </si>
  <si>
    <t>Range</t>
  </si>
  <si>
    <t>0-1</t>
  </si>
  <si>
    <t>Filter</t>
  </si>
  <si>
    <t>Current Best t=0</t>
  </si>
  <si>
    <t>Iternation</t>
  </si>
  <si>
    <t>[0.63636364 0.67676768]</t>
  </si>
  <si>
    <t>[0.78787879 0.97979798]</t>
  </si>
  <si>
    <t>[0.28528028 0.39624909 0.48771658]</t>
  </si>
  <si>
    <t>[0.34594571 0.39281662 0.47308167 0.42212088]</t>
  </si>
  <si>
    <t>[0.87531233 0.93021057 0.9649525  0.95217198]</t>
  </si>
  <si>
    <t>[0.40598058 0.00156633 0.54411123 0.95103169 0.1465625 ]</t>
  </si>
  <si>
    <t>[0.18892843 0.03696508 0.23589156 0.97789942 0.44629068 0.40757045]</t>
  </si>
  <si>
    <t>[0.27150142 0.32694222 0.10364318 0.17057871 0.94921444 0.35366081  0.25656423 0.13771914]</t>
  </si>
  <si>
    <t>Matern (nu=2.5) EI</t>
  </si>
  <si>
    <t>RBF(ISO) EI</t>
  </si>
  <si>
    <t>Actual Result</t>
  </si>
  <si>
    <t>[0.19210526 0.57105263]</t>
  </si>
  <si>
    <t>[0.70, 0.02]</t>
  </si>
  <si>
    <t>[0.71750136 0.98476372 0.00743352]</t>
  </si>
  <si>
    <t>[0.02362514 0.48922037 0.94845076 0.9737738 ]</t>
  </si>
  <si>
    <t>[0.94107226 0.95645652 0.99873801 0.90760883]</t>
  </si>
  <si>
    <t>[0.08157223 0.18189384 0.17185803 0.15929329 0.37025144 0.77387304]</t>
  </si>
  <si>
    <t>[0.10502973 0.07749753 0.17407087 0.04869464 0.90574067 0.63204745  0.30837353 0.36201027]</t>
  </si>
  <si>
    <t>[0.43300717 0.16703812 0.55945152 0.6613203  0.03954126]</t>
  </si>
  <si>
    <t>[0.58705069 0.35348183]</t>
  </si>
  <si>
    <t>[0.73002277 0.54627634]</t>
  </si>
  <si>
    <t>[0.50799992 0.1262859  0.49817714]</t>
  </si>
  <si>
    <t>[0.42424966 0.40062386 0.45366279 0.4551156 ]</t>
  </si>
  <si>
    <t>[0.53235189 0.22923283 0.30956347 0.80887281 0.02268205]</t>
  </si>
  <si>
    <t>[0.01420905 0.04567304 0.87244865 0.08406561 0.40382211 0.72387425]</t>
  </si>
  <si>
    <t>[0.9833508  0.99884915 0.98549959 0.25464627]</t>
  </si>
  <si>
    <t xml:space="preserve"> [0.45192374 0.47617988 0.09908286 0.61236068 0.60723206 0.57659093  0.18872367 0.22325412]]</t>
  </si>
  <si>
    <t>0.672735-0.190266</t>
  </si>
  <si>
    <t>Matern (nu=2.5) Straddle</t>
  </si>
  <si>
    <t>0.673367-0.050251</t>
  </si>
  <si>
    <t>IMSE</t>
  </si>
  <si>
    <t>Manual</t>
  </si>
  <si>
    <t>0.261192-0.314806-0.461913</t>
  </si>
  <si>
    <t>0.372645-0.479273-0.461731-0.413055</t>
  </si>
  <si>
    <t>0.971090-0.908441-0.971408-0.887276</t>
  </si>
  <si>
    <t>0.517790-0.109168-0.648313-0.673249-0.133973</t>
  </si>
  <si>
    <t>0.114592-0.152903-0.134658-0.180309-0.326985-0.865452</t>
  </si>
  <si>
    <t>0.094733-0.156173-0.127916-0.086580-0.944931-0.612129-0.215950-0.302823</t>
  </si>
  <si>
    <t>hypercube</t>
  </si>
  <si>
    <t>LHS?</t>
  </si>
  <si>
    <t>0.696829-0.577612</t>
  </si>
  <si>
    <t>0.653266-0.934673</t>
  </si>
  <si>
    <t>0.215348-0.376669-0.506634</t>
  </si>
  <si>
    <t>0.412548-0.401552-0.405457-0.439505</t>
  </si>
  <si>
    <t>0.978882-0.989025-0.960622-0.895234</t>
  </si>
  <si>
    <t>0.476586-0.131212-0.673662-0.697427-0.199804</t>
  </si>
  <si>
    <t>0.066661-0.116010-0.283732-0.192233-0.387712-0.791659</t>
  </si>
  <si>
    <t>0.151773-0.179893-0.170627-0.084135-0.936107-0.608799-0.254540-0.325262</t>
  </si>
  <si>
    <t>0.602765-0.773888</t>
  </si>
  <si>
    <t>RBF  Straddle</t>
  </si>
  <si>
    <t>0.718593-0.874372</t>
  </si>
  <si>
    <t>0.341940-0.383375-0.436052</t>
  </si>
  <si>
    <t>LHS</t>
  </si>
  <si>
    <t>0.402129-0.388957-0.417730-0.442561</t>
  </si>
  <si>
    <t>1.   1.   1.   0.85</t>
  </si>
  <si>
    <t>0.519116-0.051684-0.666052-0.678189-0.121254</t>
  </si>
  <si>
    <t>0.141922-0.115034-0.203790-0.282529-0.341104-0.732189</t>
  </si>
  <si>
    <t>0.126019-0.180323-0.123866-0.002696-0.979366-0.597917-0.311669-0.349985</t>
  </si>
  <si>
    <t>0.645355-0.665341</t>
  </si>
  <si>
    <t>0.708809-0.892037</t>
  </si>
  <si>
    <t>0.366844-0.433619-0.499863</t>
  </si>
  <si>
    <t>0.392333, 0.353703, 0.398126, 0.437857</t>
  </si>
  <si>
    <t>1.0, 1.0, 1.0, 0.97</t>
  </si>
  <si>
    <t>0.517446-0.167864-0.661411-0.665938-0.143036</t>
  </si>
  <si>
    <t>0.13086433 0.14966614 0.2746207  0.29938995 0.34503265 0.64375242</t>
  </si>
  <si>
    <t xml:space="preserve">email them and theyemail </t>
  </si>
  <si>
    <t>0.107542-0.160528-0.109353-0.096175-0.970870-0.558758-0.174878-0.344019</t>
  </si>
  <si>
    <t>Done</t>
  </si>
  <si>
    <t>0.664763-0.644655</t>
  </si>
  <si>
    <t>0.750894-0.846897</t>
  </si>
  <si>
    <t>0.321486-0.432266-0.449924</t>
  </si>
  <si>
    <t>0.424802-0.372355-0.394098-0.392007</t>
  </si>
  <si>
    <t>1.000000-1.000000-1.000000-1.000000</t>
  </si>
  <si>
    <t>0.502914-0.098573-0.584217-0.720294-0.160457</t>
  </si>
  <si>
    <t>0.135000-0.145000-0.270000-0.305000-0.340000-0.660000</t>
  </si>
  <si>
    <t>0.130029-0.161582-0.163271-0.136689-0.940368-0.500783-0.221107-0.650000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</si>
</sst>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
    <numFmt numFmtId="166" formatCode="0.00000"/>
    <numFmt numFmtId="167" formatCode="0.0000"/>
    <numFmt numFmtId="168" formatCode="0.0000000"/>
  </numFmts>
  <fonts count="32" x14ac:knownFonts="1">
    <font>
      <sz val="11"/>
      <color theme="1"/>
      <name val="Aptos Narrow"/>
      <family val="2"/>
      <scheme val="minor"/>
    </font>
    <font>
      <sz val="8"/>
      <name val="Aptos Narrow"/>
      <family val="2"/>
      <scheme val="minor"/>
    </font>
    <font>
      <sz val="7"/>
      <color rgb="FF000000"/>
      <name val="Courier New"/>
      <family val="3"/>
    </font>
    <font>
      <sz val="10"/>
      <color rgb="FF000000"/>
      <name val="Courier New"/>
      <family val="3"/>
    </font>
    <font>
      <b/>
      <sz val="11"/>
      <color theme="0"/>
      <name val="Aptos Narrow"/>
      <family val="2"/>
      <scheme val="minor"/>
    </font>
    <font>
      <b/>
      <sz val="11"/>
      <color theme="1"/>
      <name val="Aptos Narrow"/>
      <family val="2"/>
      <scheme val="minor"/>
    </font>
    <font>
      <b/>
      <sz val="11"/>
      <color rgb="FF0070C0"/>
      <name val="Aptos Narrow"/>
      <family val="2"/>
      <scheme val="minor"/>
    </font>
    <font>
      <sz val="12"/>
      <color theme="1"/>
      <name val="Aptos"/>
      <family val="2"/>
    </font>
    <font>
      <sz val="9"/>
      <color theme="1"/>
      <name val="Aptos"/>
      <family val="2"/>
    </font>
    <font>
      <sz val="9"/>
      <color rgb="FF000000"/>
      <name val="Aptos"/>
      <family val="2"/>
    </font>
    <font>
      <b/>
      <sz val="8"/>
      <color rgb="FFFFFFFF"/>
      <name val="Arial"/>
      <family val="2"/>
    </font>
    <font>
      <sz val="8"/>
      <color rgb="FF000000"/>
      <name val="Arial"/>
      <family val="2"/>
    </font>
    <font>
      <sz val="8"/>
      <color rgb="FF000000"/>
      <name val="Consolas"/>
      <family val="3"/>
    </font>
    <font>
      <sz val="10.5"/>
      <color theme="0"/>
      <name val="Arial"/>
      <family val="2"/>
    </font>
    <font>
      <b/>
      <sz val="10.5"/>
      <color theme="0"/>
      <name val="Arial"/>
      <family val="2"/>
    </font>
    <font>
      <b/>
      <sz val="10.5"/>
      <color rgb="FF444444"/>
      <name val="Arial"/>
      <family val="2"/>
    </font>
    <font>
      <sz val="10.5"/>
      <name val="Arial"/>
      <family val="2"/>
    </font>
    <font>
      <b/>
      <sz val="11"/>
      <color theme="3" tint="0.499984740745262"/>
      <name val="Aptos Narrow"/>
      <family val="2"/>
      <scheme val="minor"/>
    </font>
    <font>
      <b/>
      <sz val="10.5"/>
      <color theme="1"/>
      <name val="Arial"/>
      <family val="2"/>
    </font>
    <font>
      <b/>
      <sz val="11"/>
      <color rgb="FF00B0F0"/>
      <name val="Aptos Narrow"/>
      <family val="2"/>
      <scheme val="minor"/>
    </font>
    <font>
      <sz val="8"/>
      <color theme="1"/>
      <name val="Aptos Narrow"/>
      <family val="2"/>
      <scheme val="minor"/>
    </font>
    <font>
      <b/>
      <i/>
      <sz val="11"/>
      <color theme="3" tint="0.499984740745262"/>
      <name val="Aptos Narrow"/>
      <family val="2"/>
      <scheme val="minor"/>
    </font>
    <font>
      <i/>
      <sz val="11"/>
      <color theme="1"/>
      <name val="Aptos Narrow"/>
      <family val="2"/>
      <scheme val="minor"/>
    </font>
    <font>
      <b/>
      <i/>
      <sz val="11"/>
      <color rgb="FF00B0F0"/>
      <name val="Aptos Narrow"/>
      <family val="2"/>
      <scheme val="minor"/>
    </font>
    <font>
      <b/>
      <sz val="10.5"/>
      <name val="Arial"/>
      <family val="2"/>
    </font>
    <font>
      <sz val="7"/>
      <color theme="1"/>
      <name val="Consolas"/>
      <family val="3"/>
    </font>
    <font>
      <b/>
      <i/>
      <sz val="9"/>
      <color theme="3" tint="0.499984740745262"/>
      <name val="Aptos Narrow"/>
      <family val="2"/>
      <scheme val="minor"/>
    </font>
    <font>
      <b/>
      <sz val="10.5"/>
      <color theme="0" tint="-4.9989318521683403E-2"/>
      <name val="Arial"/>
      <family val="2"/>
    </font>
    <font>
      <i/>
      <sz val="11"/>
      <color theme="3" tint="0.499984740745262"/>
      <name val="Aptos Narrow"/>
      <family val="2"/>
      <scheme val="minor"/>
    </font>
    <font>
      <b/>
      <i/>
      <sz val="9"/>
      <name val="Aptos Narrow"/>
      <family val="2"/>
      <scheme val="minor"/>
    </font>
    <font>
      <sz val="7"/>
      <color theme="1"/>
      <name val="Aptos Narrow"/>
      <family val="2"/>
      <scheme val="minor"/>
    </font>
    <font>
      <sz val="10.5"/>
      <color theme="1"/>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rgb="FFFF0000"/>
        <bgColor indexed="64"/>
      </patternFill>
    </fill>
    <fill>
      <patternFill patternType="solid">
        <fgColor rgb="FF92D050"/>
        <bgColor indexed="64"/>
      </patternFill>
    </fill>
    <fill>
      <patternFill patternType="solid">
        <fgColor rgb="FFFFFFFF"/>
        <bgColor indexed="64"/>
      </patternFill>
    </fill>
    <fill>
      <patternFill patternType="solid">
        <fgColor rgb="FF1C2157"/>
        <bgColor indexed="64"/>
      </patternFill>
    </fill>
    <fill>
      <patternFill patternType="solid">
        <fgColor rgb="FFEEEDEA"/>
        <bgColor indexed="64"/>
      </patternFill>
    </fill>
    <fill>
      <patternFill patternType="solid">
        <fgColor theme="0"/>
        <bgColor indexed="64"/>
      </patternFill>
    </fill>
    <fill>
      <patternFill patternType="solid">
        <fgColor theme="2" tint="-0.249977111117893"/>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31">
    <xf numFmtId="0" fontId="0" fillId="0" borderId="0" xfId="0"/>
    <xf numFmtId="0" fontId="0" fillId="0" borderId="0" xfId="0" applyAlignment="1">
      <alignment horizontal="center"/>
    </xf>
    <xf numFmtId="0" fontId="2" fillId="0" borderId="0" xfId="0" applyFont="1" applyAlignment="1">
      <alignment horizontal="left" vertical="center"/>
    </xf>
    <xf numFmtId="0" fontId="3" fillId="0" borderId="0" xfId="0" applyFont="1" applyAlignment="1">
      <alignment horizontal="left" vertical="center"/>
    </xf>
    <xf numFmtId="0" fontId="5" fillId="0" borderId="1" xfId="0" applyFont="1" applyBorder="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xf numFmtId="0" fontId="5" fillId="0" borderId="0" xfId="0" applyFont="1" applyAlignment="1">
      <alignment horizontal="center"/>
    </xf>
    <xf numFmtId="0" fontId="5" fillId="0" borderId="5" xfId="0" applyFont="1" applyBorder="1" applyAlignment="1">
      <alignment horizontal="center"/>
    </xf>
    <xf numFmtId="0" fontId="5" fillId="0" borderId="6" xfId="0" applyFont="1" applyBorder="1"/>
    <xf numFmtId="0" fontId="0" fillId="0" borderId="1" xfId="0"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xf numFmtId="0" fontId="5" fillId="0" borderId="1" xfId="0" applyFont="1" applyBorder="1" applyAlignment="1">
      <alignment horizontal="center"/>
    </xf>
    <xf numFmtId="0" fontId="5" fillId="0" borderId="4" xfId="0" applyFont="1" applyBorder="1" applyAlignment="1">
      <alignment horizontal="center"/>
    </xf>
    <xf numFmtId="0" fontId="0" fillId="0" borderId="1" xfId="0" applyBorder="1" applyAlignment="1">
      <alignment horizontal="center"/>
    </xf>
    <xf numFmtId="0" fontId="0" fillId="0" borderId="6" xfId="0" applyBorder="1"/>
    <xf numFmtId="11" fontId="5" fillId="4" borderId="6" xfId="0" applyNumberFormat="1" applyFont="1" applyFill="1" applyBorder="1" applyAlignment="1">
      <alignment horizontal="center"/>
    </xf>
    <xf numFmtId="164" fontId="4" fillId="3" borderId="7" xfId="0" applyNumberFormat="1" applyFont="1" applyFill="1" applyBorder="1" applyAlignment="1">
      <alignment horizontal="center"/>
    </xf>
    <xf numFmtId="164" fontId="5" fillId="4" borderId="7" xfId="0" applyNumberFormat="1" applyFont="1" applyFill="1" applyBorder="1" applyAlignment="1">
      <alignment horizontal="center"/>
    </xf>
    <xf numFmtId="165" fontId="0" fillId="0" borderId="0" xfId="0" applyNumberFormat="1" applyAlignment="1">
      <alignment horizontal="center"/>
    </xf>
    <xf numFmtId="0" fontId="0" fillId="0" borderId="8" xfId="0" applyBorder="1" applyAlignment="1">
      <alignment horizontal="center"/>
    </xf>
    <xf numFmtId="164" fontId="5" fillId="4" borderId="8" xfId="0" applyNumberFormat="1" applyFont="1" applyFill="1" applyBorder="1" applyAlignment="1">
      <alignment horizontal="center"/>
    </xf>
    <xf numFmtId="164" fontId="5" fillId="0" borderId="0" xfId="0" applyNumberFormat="1" applyFont="1" applyAlignment="1">
      <alignment horizontal="center"/>
    </xf>
    <xf numFmtId="166" fontId="5" fillId="0" borderId="5" xfId="0" applyNumberFormat="1" applyFont="1" applyBorder="1" applyAlignment="1">
      <alignment horizontal="center"/>
    </xf>
    <xf numFmtId="167" fontId="5" fillId="0" borderId="0" xfId="0" applyNumberFormat="1" applyFont="1" applyAlignment="1">
      <alignment horizontal="center"/>
    </xf>
    <xf numFmtId="167" fontId="5" fillId="0" borderId="5" xfId="0" applyNumberFormat="1" applyFont="1" applyBorder="1" applyAlignment="1">
      <alignment horizontal="center"/>
    </xf>
    <xf numFmtId="11" fontId="5" fillId="0" borderId="1" xfId="0" applyNumberFormat="1" applyFont="1" applyBorder="1" applyAlignment="1">
      <alignment horizontal="center"/>
    </xf>
    <xf numFmtId="11" fontId="5" fillId="0" borderId="4" xfId="0" applyNumberFormat="1" applyFont="1" applyBorder="1" applyAlignment="1">
      <alignment horizontal="center"/>
    </xf>
    <xf numFmtId="164" fontId="5" fillId="0" borderId="2" xfId="0" applyNumberFormat="1" applyFont="1" applyBorder="1" applyAlignment="1">
      <alignment horizontal="center"/>
    </xf>
    <xf numFmtId="0" fontId="8" fillId="0" borderId="0" xfId="0" applyFont="1"/>
    <xf numFmtId="166" fontId="5" fillId="0" borderId="2" xfId="0" applyNumberFormat="1" applyFont="1" applyBorder="1" applyAlignment="1">
      <alignment horizontal="center"/>
    </xf>
    <xf numFmtId="167" fontId="5" fillId="0" borderId="2" xfId="0" applyNumberFormat="1" applyFont="1" applyBorder="1" applyAlignment="1">
      <alignment horizontal="center"/>
    </xf>
    <xf numFmtId="164" fontId="5" fillId="0" borderId="3" xfId="0" applyNumberFormat="1" applyFont="1" applyBorder="1" applyAlignment="1">
      <alignment horizont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0" fontId="10" fillId="6" borderId="12" xfId="0" applyFont="1" applyFill="1" applyBorder="1" applyAlignment="1">
      <alignment horizontal="center" vertical="center" wrapText="1"/>
    </xf>
    <xf numFmtId="0" fontId="11" fillId="7" borderId="12" xfId="0" applyFont="1" applyFill="1" applyBorder="1" applyAlignment="1">
      <alignment vertical="center" wrapText="1"/>
    </xf>
    <xf numFmtId="0" fontId="11" fillId="5" borderId="13" xfId="0" applyFont="1" applyFill="1" applyBorder="1" applyAlignment="1">
      <alignment vertical="center" wrapText="1"/>
    </xf>
    <xf numFmtId="0" fontId="11" fillId="5" borderId="14" xfId="0" applyFont="1" applyFill="1" applyBorder="1" applyAlignment="1">
      <alignment vertical="center" wrapText="1"/>
    </xf>
    <xf numFmtId="0" fontId="11" fillId="7" borderId="13" xfId="0" applyFont="1" applyFill="1" applyBorder="1" applyAlignment="1">
      <alignment vertical="center" wrapText="1"/>
    </xf>
    <xf numFmtId="0" fontId="11" fillId="7" borderId="15" xfId="0" applyFont="1" applyFill="1" applyBorder="1" applyAlignment="1">
      <alignment vertical="center" wrapText="1"/>
    </xf>
    <xf numFmtId="0" fontId="11" fillId="7" borderId="14" xfId="0" applyFont="1" applyFill="1" applyBorder="1" applyAlignment="1">
      <alignment vertical="center" wrapText="1"/>
    </xf>
    <xf numFmtId="0" fontId="11" fillId="5" borderId="12" xfId="0" applyFont="1" applyFill="1" applyBorder="1" applyAlignment="1">
      <alignment vertical="center" wrapText="1"/>
    </xf>
    <xf numFmtId="0" fontId="11" fillId="5" borderId="15" xfId="0" applyFont="1" applyFill="1" applyBorder="1" applyAlignment="1">
      <alignment vertical="center" wrapText="1"/>
    </xf>
    <xf numFmtId="0" fontId="10" fillId="6" borderId="19"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0" fillId="6" borderId="12" xfId="0" applyFont="1" applyFill="1" applyBorder="1" applyAlignment="1">
      <alignment vertical="center" wrapText="1"/>
    </xf>
    <xf numFmtId="164" fontId="14" fillId="3" borderId="7" xfId="0" applyNumberFormat="1" applyFont="1" applyFill="1" applyBorder="1" applyAlignment="1">
      <alignment horizontal="center"/>
    </xf>
    <xf numFmtId="166" fontId="15" fillId="4" borderId="7" xfId="0" applyNumberFormat="1" applyFont="1" applyFill="1" applyBorder="1" applyAlignment="1">
      <alignment horizontal="center"/>
    </xf>
    <xf numFmtId="166" fontId="13" fillId="3" borderId="7" xfId="0" applyNumberFormat="1" applyFont="1" applyFill="1" applyBorder="1" applyAlignment="1">
      <alignment horizontal="center"/>
    </xf>
    <xf numFmtId="167" fontId="13" fillId="3" borderId="7" xfId="0" applyNumberFormat="1" applyFont="1" applyFill="1" applyBorder="1" applyAlignment="1">
      <alignment horizontal="center"/>
    </xf>
    <xf numFmtId="166" fontId="13" fillId="3" borderId="8" xfId="0" applyNumberFormat="1" applyFont="1" applyFill="1" applyBorder="1" applyAlignment="1">
      <alignment horizontal="center"/>
    </xf>
    <xf numFmtId="1" fontId="5" fillId="0" borderId="0" xfId="0" applyNumberFormat="1" applyFont="1" applyAlignment="1">
      <alignment horizontal="center"/>
    </xf>
    <xf numFmtId="1" fontId="0" fillId="0" borderId="0" xfId="0" applyNumberFormat="1" applyAlignment="1">
      <alignment horizontal="center"/>
    </xf>
    <xf numFmtId="1" fontId="0" fillId="0" borderId="0" xfId="0" applyNumberFormat="1"/>
    <xf numFmtId="1" fontId="16" fillId="0" borderId="0" xfId="0" applyNumberFormat="1" applyFont="1" applyAlignment="1">
      <alignment horizontal="center"/>
    </xf>
    <xf numFmtId="168" fontId="5" fillId="0" borderId="0" xfId="0" applyNumberFormat="1" applyFont="1" applyAlignment="1">
      <alignment horizontal="center"/>
    </xf>
    <xf numFmtId="166" fontId="5" fillId="0" borderId="0" xfId="0" applyNumberFormat="1" applyFont="1" applyAlignment="1">
      <alignment horizontal="center"/>
    </xf>
    <xf numFmtId="164" fontId="5" fillId="0" borderId="5" xfId="0" applyNumberFormat="1" applyFont="1" applyBorder="1" applyAlignment="1">
      <alignment horizontal="center"/>
    </xf>
    <xf numFmtId="167" fontId="5" fillId="0" borderId="1" xfId="0" applyNumberFormat="1" applyFont="1" applyBorder="1" applyAlignment="1">
      <alignment horizontal="center"/>
    </xf>
    <xf numFmtId="167" fontId="5" fillId="0" borderId="4" xfId="0" applyNumberFormat="1" applyFont="1" applyBorder="1" applyAlignment="1">
      <alignment horizontal="center"/>
    </xf>
    <xf numFmtId="167" fontId="5" fillId="4" borderId="6" xfId="0" applyNumberFormat="1" applyFont="1" applyFill="1" applyBorder="1" applyAlignment="1">
      <alignment horizontal="center"/>
    </xf>
    <xf numFmtId="0" fontId="17" fillId="0" borderId="1" xfId="0" applyFont="1" applyBorder="1" applyAlignment="1">
      <alignment horizontal="center"/>
    </xf>
    <xf numFmtId="0" fontId="17" fillId="0" borderId="4" xfId="0" applyFont="1" applyBorder="1" applyAlignment="1">
      <alignment horizontal="center"/>
    </xf>
    <xf numFmtId="0" fontId="17" fillId="0" borderId="2" xfId="0" applyFont="1" applyBorder="1" applyAlignment="1">
      <alignment horizontal="center"/>
    </xf>
    <xf numFmtId="167" fontId="18" fillId="4" borderId="7" xfId="0" applyNumberFormat="1" applyFont="1" applyFill="1" applyBorder="1" applyAlignment="1">
      <alignment horizontal="center"/>
    </xf>
    <xf numFmtId="0" fontId="19" fillId="0" borderId="0" xfId="0" applyFont="1" applyAlignment="1">
      <alignment horizontal="center"/>
    </xf>
    <xf numFmtId="0" fontId="7" fillId="0" borderId="0" xfId="0" applyFont="1"/>
    <xf numFmtId="166" fontId="18" fillId="4" borderId="7" xfId="0" applyNumberFormat="1" applyFont="1" applyFill="1" applyBorder="1" applyAlignment="1">
      <alignment horizontal="center"/>
    </xf>
    <xf numFmtId="0" fontId="20" fillId="0" borderId="0" xfId="0" applyFont="1"/>
    <xf numFmtId="0" fontId="21" fillId="0" borderId="1" xfId="0" applyFont="1" applyBorder="1" applyAlignment="1">
      <alignment horizontal="center"/>
    </xf>
    <xf numFmtId="0" fontId="21" fillId="0" borderId="2" xfId="0"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21" fillId="0" borderId="4" xfId="0" applyFont="1" applyBorder="1" applyAlignment="1">
      <alignment horizontal="center"/>
    </xf>
    <xf numFmtId="0" fontId="22" fillId="0" borderId="0" xfId="0" applyFont="1" applyAlignment="1">
      <alignment horizontal="center"/>
    </xf>
    <xf numFmtId="0" fontId="23" fillId="0" borderId="0" xfId="0" applyFont="1" applyAlignment="1">
      <alignment horizontal="center"/>
    </xf>
    <xf numFmtId="165" fontId="22" fillId="0" borderId="0" xfId="0" applyNumberFormat="1" applyFont="1" applyAlignment="1">
      <alignment horizontal="center"/>
    </xf>
    <xf numFmtId="0" fontId="22" fillId="0" borderId="5" xfId="0" applyFont="1" applyBorder="1" applyAlignment="1">
      <alignment horizontal="center"/>
    </xf>
    <xf numFmtId="0" fontId="22" fillId="0" borderId="4" xfId="0" applyFont="1" applyBorder="1" applyAlignment="1">
      <alignment horizontal="center"/>
    </xf>
    <xf numFmtId="0" fontId="22" fillId="0" borderId="4" xfId="0" applyFont="1" applyBorder="1"/>
    <xf numFmtId="0" fontId="22" fillId="0" borderId="0" xfId="0" applyFont="1"/>
    <xf numFmtId="0" fontId="22" fillId="0" borderId="6" xfId="0" applyFont="1" applyBorder="1"/>
    <xf numFmtId="0" fontId="22" fillId="0" borderId="7" xfId="0" applyFont="1" applyBorder="1"/>
    <xf numFmtId="0" fontId="22" fillId="0" borderId="8" xfId="0" applyFont="1" applyBorder="1" applyAlignment="1">
      <alignment horizontal="center"/>
    </xf>
    <xf numFmtId="164" fontId="24" fillId="4" borderId="7" xfId="0" applyNumberFormat="1" applyFont="1" applyFill="1" applyBorder="1" applyAlignment="1">
      <alignment horizontal="center"/>
    </xf>
    <xf numFmtId="166" fontId="14" fillId="3" borderId="7" xfId="0" applyNumberFormat="1" applyFont="1" applyFill="1" applyBorder="1" applyAlignment="1">
      <alignment horizontal="center"/>
    </xf>
    <xf numFmtId="166" fontId="24" fillId="4" borderId="7" xfId="0" applyNumberFormat="1" applyFont="1" applyFill="1" applyBorder="1" applyAlignment="1">
      <alignment horizontal="center"/>
    </xf>
    <xf numFmtId="166" fontId="24" fillId="4" borderId="8" xfId="0" applyNumberFormat="1" applyFont="1" applyFill="1" applyBorder="1" applyAlignment="1">
      <alignment horizontal="center"/>
    </xf>
    <xf numFmtId="167" fontId="4" fillId="3" borderId="6" xfId="0" applyNumberFormat="1" applyFont="1" applyFill="1" applyBorder="1" applyAlignment="1">
      <alignment horizontal="center"/>
    </xf>
    <xf numFmtId="0" fontId="25" fillId="0" borderId="0" xfId="0" applyFont="1" applyAlignment="1">
      <alignment horizontal="left" vertical="center"/>
    </xf>
    <xf numFmtId="0" fontId="26" fillId="0" borderId="1" xfId="0" applyFont="1" applyBorder="1" applyAlignment="1">
      <alignment horizontal="center"/>
    </xf>
    <xf numFmtId="164" fontId="27" fillId="3" borderId="7" xfId="0" applyNumberFormat="1" applyFont="1" applyFill="1" applyBorder="1" applyAlignment="1">
      <alignment horizontal="center"/>
    </xf>
    <xf numFmtId="167" fontId="14" fillId="3" borderId="7" xfId="0" applyNumberFormat="1" applyFont="1" applyFill="1" applyBorder="1" applyAlignment="1">
      <alignment horizontal="center"/>
    </xf>
    <xf numFmtId="166" fontId="14" fillId="3" borderId="8" xfId="0" applyNumberFormat="1" applyFont="1" applyFill="1" applyBorder="1" applyAlignment="1">
      <alignment horizontal="center"/>
    </xf>
    <xf numFmtId="0" fontId="28" fillId="9" borderId="0" xfId="0" applyFont="1" applyFill="1" applyAlignment="1">
      <alignment horizontal="center"/>
    </xf>
    <xf numFmtId="0" fontId="29" fillId="0" borderId="1" xfId="0" applyFont="1" applyBorder="1" applyAlignment="1">
      <alignment horizontal="center"/>
    </xf>
    <xf numFmtId="2" fontId="28" fillId="0" borderId="0" xfId="0" applyNumberFormat="1" applyFont="1" applyAlignment="1">
      <alignment horizontal="center"/>
    </xf>
    <xf numFmtId="166" fontId="18" fillId="4" borderId="8" xfId="0" applyNumberFormat="1" applyFont="1" applyFill="1" applyBorder="1" applyAlignment="1">
      <alignment horizontal="center"/>
    </xf>
    <xf numFmtId="0" fontId="25" fillId="0" borderId="0" xfId="0" applyFont="1"/>
    <xf numFmtId="0" fontId="30" fillId="0" borderId="0" xfId="0" applyFont="1"/>
    <xf numFmtId="166" fontId="31" fillId="4" borderId="7" xfId="0" applyNumberFormat="1" applyFont="1" applyFill="1" applyBorder="1" applyAlignment="1">
      <alignment horizontal="center"/>
    </xf>
    <xf numFmtId="17" fontId="0" fillId="0" borderId="0" xfId="0" applyNumberFormat="1"/>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5" fillId="5" borderId="16" xfId="0" applyFont="1" applyFill="1" applyBorder="1" applyAlignment="1">
      <alignment horizontal="center" vertical="center"/>
    </xf>
    <xf numFmtId="0" fontId="0" fillId="0" borderId="16" xfId="0" applyBorder="1"/>
    <xf numFmtId="0" fontId="6" fillId="2" borderId="9" xfId="0" applyFont="1" applyFill="1" applyBorder="1" applyAlignment="1">
      <alignment horizontal="center" vertical="center" textRotation="255"/>
    </xf>
    <xf numFmtId="0" fontId="6" fillId="2" borderId="10" xfId="0" applyFont="1" applyFill="1" applyBorder="1" applyAlignment="1">
      <alignment horizontal="center" vertical="center" textRotation="255"/>
    </xf>
    <xf numFmtId="0" fontId="6" fillId="2" borderId="11" xfId="0" applyFont="1" applyFill="1" applyBorder="1" applyAlignment="1">
      <alignment horizontal="center" vertical="center" textRotation="255"/>
    </xf>
    <xf numFmtId="0" fontId="6" fillId="0" borderId="9" xfId="0" applyFont="1" applyBorder="1" applyAlignment="1">
      <alignment horizontal="center" vertical="center" textRotation="255"/>
    </xf>
    <xf numFmtId="0" fontId="6" fillId="0" borderId="10" xfId="0" applyFont="1" applyBorder="1" applyAlignment="1">
      <alignment horizontal="center" vertical="center" textRotation="255"/>
    </xf>
    <xf numFmtId="0" fontId="6" fillId="0" borderId="11" xfId="0" applyFont="1" applyBorder="1" applyAlignment="1">
      <alignment horizontal="center" vertical="center" textRotation="255"/>
    </xf>
    <xf numFmtId="0" fontId="6" fillId="8" borderId="9" xfId="0" applyFont="1" applyFill="1" applyBorder="1" applyAlignment="1">
      <alignment horizontal="center" vertical="center" textRotation="255"/>
    </xf>
    <xf numFmtId="0" fontId="6" fillId="8" borderId="10" xfId="0" applyFont="1" applyFill="1" applyBorder="1" applyAlignment="1">
      <alignment horizontal="center" vertical="center" textRotation="255"/>
    </xf>
    <xf numFmtId="0" fontId="6" fillId="8" borderId="11" xfId="0" applyFont="1" applyFill="1" applyBorder="1" applyAlignment="1">
      <alignment horizontal="center" vertical="center" textRotation="255"/>
    </xf>
  </cellXfs>
  <cellStyles count="1">
    <cellStyle name="Normal" xfId="0" builtinId="0"/>
  </cellStyles>
  <dxfs count="14">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3D06F-572F-4416-9EA0-39971621C9C0}">
  <dimension ref="A1:N23"/>
  <sheetViews>
    <sheetView tabSelected="1" workbookViewId="0">
      <pane xSplit="1" ySplit="1" topLeftCell="J2" activePane="bottomRight" state="frozen"/>
      <selection pane="topRight" activeCell="B1" sqref="B1"/>
      <selection pane="bottomLeft" activeCell="A2" sqref="A2"/>
      <selection pane="bottomRight" activeCell="K9" sqref="K9"/>
    </sheetView>
  </sheetViews>
  <sheetFormatPr defaultRowHeight="14.5" x14ac:dyDescent="0.35"/>
  <cols>
    <col min="1" max="1" width="9.36328125" style="1" customWidth="1"/>
    <col min="2" max="6" width="13.453125" customWidth="1"/>
    <col min="7" max="7" width="53.1796875" bestFit="1" customWidth="1"/>
    <col min="8" max="8" width="27.90625" customWidth="1"/>
    <col min="9" max="9" width="48.26953125" customWidth="1"/>
    <col min="10" max="10" width="33.1796875" bestFit="1" customWidth="1"/>
    <col min="11" max="11" width="28.1796875" customWidth="1"/>
  </cols>
  <sheetData>
    <row r="1" spans="1:11" x14ac:dyDescent="0.35">
      <c r="B1" s="1">
        <v>1</v>
      </c>
      <c r="C1" s="1">
        <v>2</v>
      </c>
      <c r="D1" s="1">
        <v>3</v>
      </c>
      <c r="E1" s="1">
        <v>4</v>
      </c>
      <c r="F1" s="1">
        <v>5</v>
      </c>
      <c r="G1" s="1">
        <v>6</v>
      </c>
      <c r="H1" s="1">
        <v>7</v>
      </c>
      <c r="I1" s="1">
        <v>8</v>
      </c>
      <c r="J1" s="1">
        <v>9</v>
      </c>
      <c r="K1" s="1">
        <v>10</v>
      </c>
    </row>
    <row r="2" spans="1:11" x14ac:dyDescent="0.35">
      <c r="A2" t="s">
        <v>0</v>
      </c>
      <c r="B2" s="3" t="s">
        <v>8</v>
      </c>
      <c r="C2" s="42" t="s">
        <v>34</v>
      </c>
      <c r="D2" s="2" t="s">
        <v>82</v>
      </c>
      <c r="E2" s="2" t="s">
        <v>93</v>
      </c>
      <c r="F2" s="105" t="s">
        <v>101</v>
      </c>
      <c r="G2" s="105" t="s">
        <v>109</v>
      </c>
      <c r="H2" s="105" t="s">
        <v>122</v>
      </c>
      <c r="I2" s="105" t="s">
        <v>130</v>
      </c>
      <c r="J2" s="105" t="s">
        <v>140</v>
      </c>
      <c r="K2" s="115" t="s">
        <v>150</v>
      </c>
    </row>
    <row r="3" spans="1:11" x14ac:dyDescent="0.35">
      <c r="A3" t="s">
        <v>1</v>
      </c>
      <c r="B3" s="3" t="s">
        <v>9</v>
      </c>
      <c r="C3" s="42" t="s">
        <v>35</v>
      </c>
      <c r="D3" s="2" t="s">
        <v>83</v>
      </c>
      <c r="E3" s="84" t="s">
        <v>94</v>
      </c>
      <c r="F3" s="105" t="s">
        <v>102</v>
      </c>
      <c r="G3" s="105" t="s">
        <v>111</v>
      </c>
      <c r="H3" s="105" t="s">
        <v>123</v>
      </c>
      <c r="I3" s="105" t="s">
        <v>132</v>
      </c>
      <c r="J3" s="105" t="s">
        <v>141</v>
      </c>
      <c r="K3" s="105" t="s">
        <v>151</v>
      </c>
    </row>
    <row r="4" spans="1:11" x14ac:dyDescent="0.35">
      <c r="A4" t="s">
        <v>2</v>
      </c>
      <c r="B4" s="2" t="s">
        <v>10</v>
      </c>
      <c r="C4" s="42" t="s">
        <v>36</v>
      </c>
      <c r="D4" s="2" t="s">
        <v>84</v>
      </c>
      <c r="E4" s="2" t="s">
        <v>95</v>
      </c>
      <c r="F4" s="105" t="s">
        <v>103</v>
      </c>
      <c r="G4" s="105" t="s">
        <v>114</v>
      </c>
      <c r="H4" s="105" t="s">
        <v>124</v>
      </c>
      <c r="I4" s="105" t="s">
        <v>133</v>
      </c>
      <c r="J4" s="105" t="s">
        <v>142</v>
      </c>
      <c r="K4" s="105" t="s">
        <v>152</v>
      </c>
    </row>
    <row r="5" spans="1:11" x14ac:dyDescent="0.35">
      <c r="A5" t="s">
        <v>3</v>
      </c>
      <c r="B5" s="2" t="s">
        <v>11</v>
      </c>
      <c r="C5" s="36" t="s">
        <v>37</v>
      </c>
      <c r="D5" s="2" t="s">
        <v>85</v>
      </c>
      <c r="E5" s="2" t="s">
        <v>96</v>
      </c>
      <c r="F5" s="105" t="s">
        <v>104</v>
      </c>
      <c r="G5" s="105" t="s">
        <v>115</v>
      </c>
      <c r="H5" s="105" t="s">
        <v>125</v>
      </c>
      <c r="I5" s="105" t="s">
        <v>135</v>
      </c>
      <c r="J5" s="105" t="s">
        <v>143</v>
      </c>
      <c r="K5" s="105" t="s">
        <v>153</v>
      </c>
    </row>
    <row r="6" spans="1:11" x14ac:dyDescent="0.35">
      <c r="A6" t="s">
        <v>4</v>
      </c>
      <c r="B6" s="2" t="s">
        <v>12</v>
      </c>
      <c r="C6" s="42" t="s">
        <v>38</v>
      </c>
      <c r="D6" s="2" t="s">
        <v>86</v>
      </c>
      <c r="E6" s="2" t="s">
        <v>97</v>
      </c>
      <c r="F6" s="105" t="s">
        <v>107</v>
      </c>
      <c r="G6" s="105" t="s">
        <v>116</v>
      </c>
      <c r="H6" s="105" t="s">
        <v>126</v>
      </c>
      <c r="I6" s="105" t="s">
        <v>136</v>
      </c>
      <c r="J6" s="105" t="s">
        <v>144</v>
      </c>
      <c r="K6" s="105" t="s">
        <v>154</v>
      </c>
    </row>
    <row r="7" spans="1:11" x14ac:dyDescent="0.35">
      <c r="A7" t="s">
        <v>5</v>
      </c>
      <c r="B7" s="2" t="s">
        <v>13</v>
      </c>
      <c r="C7" s="42" t="s">
        <v>39</v>
      </c>
      <c r="D7" s="2" t="s">
        <v>87</v>
      </c>
      <c r="E7" s="2" t="s">
        <v>100</v>
      </c>
      <c r="F7" s="84" t="s">
        <v>105</v>
      </c>
      <c r="G7" s="105" t="s">
        <v>117</v>
      </c>
      <c r="H7" s="105" t="s">
        <v>127</v>
      </c>
      <c r="I7" s="105" t="s">
        <v>137</v>
      </c>
      <c r="J7" s="105" t="s">
        <v>145</v>
      </c>
      <c r="K7" s="105" t="s">
        <v>155</v>
      </c>
    </row>
    <row r="8" spans="1:11" x14ac:dyDescent="0.35">
      <c r="A8" t="s">
        <v>6</v>
      </c>
      <c r="B8" s="2" t="s">
        <v>14</v>
      </c>
      <c r="C8" s="42" t="s">
        <v>40</v>
      </c>
      <c r="D8" s="2" t="s">
        <v>88</v>
      </c>
      <c r="E8" s="2" t="s">
        <v>98</v>
      </c>
      <c r="F8" s="105" t="s">
        <v>106</v>
      </c>
      <c r="G8" s="105" t="s">
        <v>118</v>
      </c>
      <c r="H8" s="105" t="s">
        <v>128</v>
      </c>
      <c r="I8" s="114" t="s">
        <v>138</v>
      </c>
      <c r="J8" s="105" t="s">
        <v>146</v>
      </c>
      <c r="K8" s="115" t="s">
        <v>156</v>
      </c>
    </row>
    <row r="9" spans="1:11" x14ac:dyDescent="0.35">
      <c r="A9" t="s">
        <v>7</v>
      </c>
      <c r="B9" s="2" t="s">
        <v>15</v>
      </c>
      <c r="C9" s="41" t="s">
        <v>41</v>
      </c>
      <c r="D9" s="2" t="s">
        <v>89</v>
      </c>
      <c r="E9" s="2" t="s">
        <v>99</v>
      </c>
      <c r="F9" s="105" t="s">
        <v>108</v>
      </c>
      <c r="G9" s="105" t="s">
        <v>119</v>
      </c>
      <c r="H9" s="105" t="s">
        <v>129</v>
      </c>
      <c r="I9" s="115" t="s">
        <v>139</v>
      </c>
      <c r="J9" s="105" t="s">
        <v>148</v>
      </c>
      <c r="K9" s="115" t="s">
        <v>157</v>
      </c>
    </row>
    <row r="10" spans="1:11" ht="16" x14ac:dyDescent="0.35">
      <c r="B10" s="2"/>
      <c r="C10" s="40"/>
      <c r="D10" s="2"/>
      <c r="E10" s="2"/>
      <c r="F10" s="105"/>
    </row>
    <row r="23" spans="14:14" x14ac:dyDescent="0.35">
      <c r="N23" t="s">
        <v>147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2652-74C2-468B-95F8-08814D97D634}">
  <dimension ref="B2:I20"/>
  <sheetViews>
    <sheetView topLeftCell="A6" workbookViewId="0">
      <selection activeCell="I11" sqref="I11"/>
    </sheetView>
  </sheetViews>
  <sheetFormatPr defaultRowHeight="14.5" x14ac:dyDescent="0.35"/>
  <cols>
    <col min="8" max="8" width="9.81640625" customWidth="1"/>
    <col min="9" max="9" width="74" customWidth="1"/>
  </cols>
  <sheetData>
    <row r="2" spans="2:9" x14ac:dyDescent="0.35">
      <c r="B2" s="120" t="s">
        <v>42</v>
      </c>
      <c r="C2" s="121"/>
      <c r="D2" s="121"/>
      <c r="E2" s="121"/>
      <c r="F2" s="121"/>
      <c r="G2" s="121"/>
      <c r="H2" s="121"/>
      <c r="I2" s="121"/>
    </row>
    <row r="3" spans="2:9" ht="21" x14ac:dyDescent="0.35">
      <c r="B3" s="43" t="s">
        <v>43</v>
      </c>
      <c r="C3" s="118" t="s">
        <v>44</v>
      </c>
      <c r="D3" s="119"/>
      <c r="E3" s="52"/>
      <c r="F3" s="118" t="s">
        <v>45</v>
      </c>
      <c r="G3" s="119"/>
      <c r="H3" s="43" t="s">
        <v>46</v>
      </c>
      <c r="I3" s="43" t="s">
        <v>47</v>
      </c>
    </row>
    <row r="4" spans="2:9" x14ac:dyDescent="0.35">
      <c r="B4" s="43"/>
      <c r="C4" s="43" t="s">
        <v>74</v>
      </c>
      <c r="D4" s="43" t="s">
        <v>75</v>
      </c>
      <c r="E4" s="43" t="s">
        <v>77</v>
      </c>
      <c r="F4" s="43" t="s">
        <v>74</v>
      </c>
      <c r="G4" s="61" t="s">
        <v>75</v>
      </c>
      <c r="H4" s="43"/>
      <c r="I4" s="43"/>
    </row>
    <row r="5" spans="2:9" ht="47.5" customHeight="1" x14ac:dyDescent="0.35">
      <c r="B5" s="44" t="s">
        <v>0</v>
      </c>
      <c r="C5" s="44" t="s">
        <v>48</v>
      </c>
      <c r="D5" s="53" t="s">
        <v>76</v>
      </c>
      <c r="E5" s="53" t="s">
        <v>78</v>
      </c>
      <c r="F5" s="44" t="s">
        <v>49</v>
      </c>
      <c r="G5" s="53" t="s">
        <v>76</v>
      </c>
      <c r="H5" s="44" t="s">
        <v>50</v>
      </c>
      <c r="I5" s="44" t="s">
        <v>51</v>
      </c>
    </row>
    <row r="6" spans="2:9" ht="30" x14ac:dyDescent="0.35">
      <c r="B6" s="45" t="s">
        <v>1</v>
      </c>
      <c r="C6" s="45" t="s">
        <v>48</v>
      </c>
      <c r="D6" s="54" t="s">
        <v>76</v>
      </c>
      <c r="E6" s="54" t="s">
        <v>78</v>
      </c>
      <c r="F6" s="45" t="s">
        <v>49</v>
      </c>
      <c r="G6" s="54"/>
      <c r="H6" s="45" t="s">
        <v>50</v>
      </c>
      <c r="I6" s="45" t="s">
        <v>52</v>
      </c>
    </row>
    <row r="7" spans="2:9" ht="30" customHeight="1" x14ac:dyDescent="0.35">
      <c r="B7" s="46"/>
      <c r="C7" s="46"/>
      <c r="D7" s="55"/>
      <c r="E7" s="55"/>
      <c r="F7" s="46"/>
      <c r="G7" s="55"/>
      <c r="H7" s="46"/>
      <c r="I7" s="46" t="s">
        <v>53</v>
      </c>
    </row>
    <row r="8" spans="2:9" x14ac:dyDescent="0.35">
      <c r="B8" s="47" t="s">
        <v>2</v>
      </c>
      <c r="C8" s="47" t="s">
        <v>54</v>
      </c>
      <c r="D8" s="56" t="s">
        <v>76</v>
      </c>
      <c r="E8" s="56" t="s">
        <v>78</v>
      </c>
      <c r="F8" s="47" t="s">
        <v>49</v>
      </c>
      <c r="G8" s="56" t="s">
        <v>76</v>
      </c>
      <c r="H8" s="47" t="s">
        <v>50</v>
      </c>
      <c r="I8" s="47" t="s">
        <v>55</v>
      </c>
    </row>
    <row r="9" spans="2:9" ht="31" x14ac:dyDescent="0.35">
      <c r="B9" s="48"/>
      <c r="C9" s="48"/>
      <c r="D9" s="57"/>
      <c r="E9" s="57"/>
      <c r="F9" s="48"/>
      <c r="G9" s="57"/>
      <c r="H9" s="48"/>
      <c r="I9" s="48" t="s">
        <v>73</v>
      </c>
    </row>
    <row r="10" spans="2:9" ht="20" x14ac:dyDescent="0.35">
      <c r="B10" s="49"/>
      <c r="C10" s="49"/>
      <c r="D10" s="58"/>
      <c r="E10" s="58"/>
      <c r="F10" s="49"/>
      <c r="G10" s="58"/>
      <c r="H10" s="49"/>
      <c r="I10" s="49" t="s">
        <v>56</v>
      </c>
    </row>
    <row r="11" spans="2:9" ht="50" x14ac:dyDescent="0.35">
      <c r="B11" s="50" t="s">
        <v>3</v>
      </c>
      <c r="C11" s="50" t="s">
        <v>57</v>
      </c>
      <c r="D11" s="59" t="s">
        <v>76</v>
      </c>
      <c r="E11" s="59" t="s">
        <v>78</v>
      </c>
      <c r="F11" s="50" t="s">
        <v>58</v>
      </c>
      <c r="G11" s="59" t="s">
        <v>76</v>
      </c>
      <c r="H11" s="50" t="s">
        <v>50</v>
      </c>
      <c r="I11" s="50" t="s">
        <v>59</v>
      </c>
    </row>
    <row r="12" spans="2:9" ht="20" x14ac:dyDescent="0.35">
      <c r="B12" s="47" t="s">
        <v>4</v>
      </c>
      <c r="C12" s="47" t="s">
        <v>60</v>
      </c>
      <c r="D12" s="56" t="s">
        <v>76</v>
      </c>
      <c r="E12" s="56" t="s">
        <v>78</v>
      </c>
      <c r="F12" s="47" t="s">
        <v>49</v>
      </c>
      <c r="G12" s="56" t="s">
        <v>76</v>
      </c>
      <c r="H12" s="47" t="s">
        <v>50</v>
      </c>
      <c r="I12" s="47" t="s">
        <v>61</v>
      </c>
    </row>
    <row r="13" spans="2:9" ht="20" x14ac:dyDescent="0.35">
      <c r="B13" s="49"/>
      <c r="C13" s="49"/>
      <c r="D13" s="58"/>
      <c r="E13" s="58"/>
      <c r="F13" s="49"/>
      <c r="G13" s="58"/>
      <c r="H13" s="49"/>
      <c r="I13" s="49" t="s">
        <v>62</v>
      </c>
    </row>
    <row r="14" spans="2:9" ht="40" x14ac:dyDescent="0.35">
      <c r="B14" s="45" t="s">
        <v>5</v>
      </c>
      <c r="C14" s="45" t="s">
        <v>63</v>
      </c>
      <c r="D14" s="54" t="s">
        <v>76</v>
      </c>
      <c r="E14" s="54" t="s">
        <v>78</v>
      </c>
      <c r="F14" s="45" t="s">
        <v>58</v>
      </c>
      <c r="G14" s="54" t="s">
        <v>76</v>
      </c>
      <c r="H14" s="45" t="s">
        <v>50</v>
      </c>
      <c r="I14" s="45" t="s">
        <v>64</v>
      </c>
    </row>
    <row r="15" spans="2:9" ht="20" x14ac:dyDescent="0.35">
      <c r="B15" s="46"/>
      <c r="C15" s="46"/>
      <c r="D15" s="55"/>
      <c r="E15" s="55"/>
      <c r="F15" s="46"/>
      <c r="G15" s="55"/>
      <c r="H15" s="46"/>
      <c r="I15" s="46" t="s">
        <v>65</v>
      </c>
    </row>
    <row r="16" spans="2:9" ht="40" x14ac:dyDescent="0.35">
      <c r="B16" s="47" t="s">
        <v>6</v>
      </c>
      <c r="C16" s="47" t="s">
        <v>66</v>
      </c>
      <c r="D16" s="56" t="s">
        <v>76</v>
      </c>
      <c r="E16" s="56" t="s">
        <v>78</v>
      </c>
      <c r="F16" s="47" t="s">
        <v>58</v>
      </c>
      <c r="G16" s="56" t="s">
        <v>76</v>
      </c>
      <c r="H16" s="47" t="s">
        <v>50</v>
      </c>
      <c r="I16" s="47" t="s">
        <v>67</v>
      </c>
    </row>
    <row r="17" spans="2:9" ht="30" x14ac:dyDescent="0.35">
      <c r="B17" s="49"/>
      <c r="C17" s="49"/>
      <c r="D17" s="58"/>
      <c r="E17" s="58"/>
      <c r="F17" s="49"/>
      <c r="G17" s="58"/>
      <c r="H17" s="49"/>
      <c r="I17" s="49" t="s">
        <v>68</v>
      </c>
    </row>
    <row r="18" spans="2:9" ht="20" x14ac:dyDescent="0.35">
      <c r="B18" s="45" t="s">
        <v>7</v>
      </c>
      <c r="C18" s="45" t="s">
        <v>69</v>
      </c>
      <c r="D18" s="54" t="s">
        <v>76</v>
      </c>
      <c r="E18" s="54" t="s">
        <v>78</v>
      </c>
      <c r="F18" s="45" t="s">
        <v>58</v>
      </c>
      <c r="G18" s="54" t="s">
        <v>76</v>
      </c>
      <c r="H18" s="45" t="s">
        <v>50</v>
      </c>
      <c r="I18" s="45" t="s">
        <v>70</v>
      </c>
    </row>
    <row r="19" spans="2:9" ht="30" x14ac:dyDescent="0.35">
      <c r="B19" s="51"/>
      <c r="C19" s="51"/>
      <c r="D19" s="60"/>
      <c r="E19" s="60"/>
      <c r="F19" s="51"/>
      <c r="G19" s="60"/>
      <c r="H19" s="51"/>
      <c r="I19" s="51" t="s">
        <v>71</v>
      </c>
    </row>
    <row r="20" spans="2:9" ht="40" x14ac:dyDescent="0.35">
      <c r="B20" s="46"/>
      <c r="C20" s="46"/>
      <c r="D20" s="55"/>
      <c r="E20" s="55"/>
      <c r="F20" s="46"/>
      <c r="G20" s="55"/>
      <c r="H20" s="46"/>
      <c r="I20" s="46" t="s">
        <v>72</v>
      </c>
    </row>
  </sheetData>
  <mergeCells count="3">
    <mergeCell ref="F3:G3"/>
    <mergeCell ref="B2:I2"/>
    <mergeCell ref="C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1DC9-1D0F-4882-B353-9F2E349022AD}">
  <dimension ref="A1:O145"/>
  <sheetViews>
    <sheetView workbookViewId="0">
      <pane xSplit="1" ySplit="1" topLeftCell="B114" activePane="bottomRight" state="frozen"/>
      <selection pane="topRight" activeCell="B1" sqref="B1"/>
      <selection pane="bottomLeft" activeCell="A2" sqref="A2"/>
      <selection pane="bottomRight" activeCell="A114" sqref="A114:A129"/>
    </sheetView>
  </sheetViews>
  <sheetFormatPr defaultRowHeight="14.5" outlineLevelRow="1" x14ac:dyDescent="0.35"/>
  <cols>
    <col min="1" max="1" width="10.26953125" customWidth="1"/>
    <col min="2" max="2" width="22.81640625" customWidth="1"/>
    <col min="3" max="10" width="19" customWidth="1"/>
  </cols>
  <sheetData>
    <row r="1" spans="1:11" ht="15" thickBot="1" x14ac:dyDescent="0.4">
      <c r="A1" t="s">
        <v>81</v>
      </c>
      <c r="B1" s="11"/>
      <c r="C1" s="19" t="s">
        <v>0</v>
      </c>
      <c r="D1" s="5" t="s">
        <v>1</v>
      </c>
      <c r="E1" s="5" t="s">
        <v>2</v>
      </c>
      <c r="F1" s="5" t="s">
        <v>3</v>
      </c>
      <c r="G1" s="5" t="s">
        <v>4</v>
      </c>
      <c r="H1" s="5" t="s">
        <v>5</v>
      </c>
      <c r="I1" s="5" t="s">
        <v>6</v>
      </c>
      <c r="J1" s="6" t="s">
        <v>7</v>
      </c>
      <c r="K1" s="8" t="s">
        <v>79</v>
      </c>
    </row>
    <row r="2" spans="1:11" x14ac:dyDescent="0.35">
      <c r="A2" s="125">
        <v>1</v>
      </c>
      <c r="B2" s="4" t="s">
        <v>80</v>
      </c>
      <c r="C2" s="19" t="s">
        <v>29</v>
      </c>
      <c r="D2" s="5">
        <v>0.611205</v>
      </c>
      <c r="E2" s="5">
        <v>-3.4834999999999998E-2</v>
      </c>
      <c r="F2" s="5">
        <v>-4.0255419999999997</v>
      </c>
      <c r="G2" s="5">
        <v>1088.859618</v>
      </c>
      <c r="H2" s="5">
        <v>-0.71426500000000004</v>
      </c>
      <c r="I2" s="5">
        <v>1.364968</v>
      </c>
      <c r="J2" s="6">
        <v>9.5984820000000006</v>
      </c>
      <c r="K2" s="67">
        <v>1</v>
      </c>
    </row>
    <row r="3" spans="1:11" x14ac:dyDescent="0.35">
      <c r="A3" s="126"/>
      <c r="B3" s="7" t="s">
        <v>28</v>
      </c>
      <c r="C3" s="20" t="s">
        <v>30</v>
      </c>
      <c r="D3" s="8">
        <v>1.7090000000000001E-2</v>
      </c>
      <c r="E3" s="8">
        <v>1.8834E-2</v>
      </c>
      <c r="F3" s="8">
        <v>2.5569009999999999</v>
      </c>
      <c r="G3" s="8">
        <v>576.29089999999997</v>
      </c>
      <c r="H3" s="8">
        <v>0.48826000000000003</v>
      </c>
      <c r="I3" s="8">
        <v>8.0000000000000002E-3</v>
      </c>
      <c r="J3" s="9">
        <v>0.40601900000000002</v>
      </c>
      <c r="K3" s="69"/>
    </row>
    <row r="4" spans="1:11" x14ac:dyDescent="0.35">
      <c r="A4" s="126"/>
      <c r="B4" s="7" t="s">
        <v>33</v>
      </c>
      <c r="C4" s="20"/>
      <c r="D4" s="29">
        <f>D5-D2</f>
        <v>-4.6832558335716978E-2</v>
      </c>
      <c r="E4" s="31">
        <f t="shared" ref="E4:J4" si="0">E5-E2</f>
        <v>-4.3557399954539007E-2</v>
      </c>
      <c r="F4" s="31">
        <f t="shared" si="0"/>
        <v>3.9831070514095921</v>
      </c>
      <c r="G4" s="31">
        <f t="shared" si="0"/>
        <v>1778.8196003903499</v>
      </c>
      <c r="H4" s="31">
        <f t="shared" si="0"/>
        <v>7.550314326371399E-2</v>
      </c>
      <c r="I4" s="31">
        <f t="shared" si="0"/>
        <v>0.15870420891374004</v>
      </c>
      <c r="J4" s="32">
        <f t="shared" si="0"/>
        <v>0.3027404413548993</v>
      </c>
      <c r="K4" s="69"/>
    </row>
    <row r="5" spans="1:11" ht="15" thickBot="1" x14ac:dyDescent="0.4">
      <c r="A5" s="126"/>
      <c r="B5" s="10" t="s">
        <v>92</v>
      </c>
      <c r="C5" s="23">
        <v>9.6510550624850692E-15</v>
      </c>
      <c r="D5" s="24">
        <v>0.56437244166428302</v>
      </c>
      <c r="E5" s="24">
        <v>-7.8392399954539005E-2</v>
      </c>
      <c r="F5" s="25">
        <v>-4.2434948590407598E-2</v>
      </c>
      <c r="G5" s="25">
        <v>2867.6792183903499</v>
      </c>
      <c r="H5" s="25">
        <v>-0.63876185673628605</v>
      </c>
      <c r="I5" s="25">
        <v>1.52367220891374</v>
      </c>
      <c r="J5" s="28">
        <v>9.9012224413548999</v>
      </c>
      <c r="K5" s="67">
        <v>1</v>
      </c>
    </row>
    <row r="6" spans="1:11" hidden="1" outlineLevel="1" x14ac:dyDescent="0.35">
      <c r="A6" s="126"/>
      <c r="B6" s="11" t="s">
        <v>16</v>
      </c>
      <c r="C6" s="21" t="s">
        <v>32</v>
      </c>
      <c r="D6" s="12" t="s">
        <v>32</v>
      </c>
      <c r="E6" s="12" t="s">
        <v>32</v>
      </c>
      <c r="F6" s="12" t="s">
        <v>32</v>
      </c>
      <c r="G6" s="12" t="s">
        <v>32</v>
      </c>
      <c r="H6" s="12" t="s">
        <v>32</v>
      </c>
      <c r="I6" s="12" t="s">
        <v>32</v>
      </c>
      <c r="J6" s="13" t="s">
        <v>32</v>
      </c>
      <c r="K6" s="69"/>
    </row>
    <row r="7" spans="1:11" hidden="1" outlineLevel="1" x14ac:dyDescent="0.35">
      <c r="A7" s="126"/>
      <c r="B7" s="14" t="s">
        <v>17</v>
      </c>
      <c r="C7" s="16">
        <v>0.01</v>
      </c>
      <c r="D7" s="1">
        <v>0.05</v>
      </c>
      <c r="E7" s="1">
        <v>0.01</v>
      </c>
      <c r="F7" s="1">
        <v>0.1</v>
      </c>
      <c r="G7" s="26">
        <v>1</v>
      </c>
      <c r="H7" s="1">
        <v>0.05</v>
      </c>
      <c r="I7" s="1">
        <v>0.05</v>
      </c>
      <c r="J7" s="15">
        <v>0.1</v>
      </c>
      <c r="K7" s="69"/>
    </row>
    <row r="8" spans="1:11" hidden="1" outlineLevel="1" x14ac:dyDescent="0.35">
      <c r="A8" s="126"/>
      <c r="B8" s="14" t="s">
        <v>31</v>
      </c>
      <c r="C8" s="16">
        <v>1.01</v>
      </c>
      <c r="D8" s="1">
        <v>1.03</v>
      </c>
      <c r="E8" s="1">
        <v>1.07</v>
      </c>
      <c r="F8" s="1">
        <v>2.0099999999999998</v>
      </c>
      <c r="G8" s="1">
        <v>2.33</v>
      </c>
      <c r="H8" s="1">
        <v>1.42</v>
      </c>
      <c r="I8" s="1">
        <v>1.01</v>
      </c>
      <c r="J8" s="15">
        <v>4.68</v>
      </c>
      <c r="K8" s="69"/>
    </row>
    <row r="9" spans="1:11" hidden="1" outlineLevel="1" x14ac:dyDescent="0.35">
      <c r="A9" s="126"/>
      <c r="B9" s="14" t="s">
        <v>18</v>
      </c>
      <c r="C9" s="16"/>
      <c r="D9" s="1"/>
      <c r="E9" s="1"/>
      <c r="F9" s="1"/>
      <c r="G9" s="1"/>
      <c r="H9" s="1"/>
      <c r="I9" s="1"/>
      <c r="J9" s="15"/>
      <c r="K9" s="69"/>
    </row>
    <row r="10" spans="1:11" hidden="1" outlineLevel="1" x14ac:dyDescent="0.35">
      <c r="A10" s="126"/>
      <c r="B10" s="16" t="s">
        <v>19</v>
      </c>
      <c r="C10" s="16">
        <v>51.4</v>
      </c>
      <c r="D10" s="1">
        <v>5.0099999999999999E-2</v>
      </c>
      <c r="E10" s="1">
        <v>1000</v>
      </c>
      <c r="F10" s="1">
        <v>0.75</v>
      </c>
      <c r="G10" s="1">
        <v>13</v>
      </c>
      <c r="H10" s="1">
        <v>0.41499999999999998</v>
      </c>
      <c r="I10" s="1">
        <v>0.125</v>
      </c>
      <c r="J10" s="15">
        <v>1.89</v>
      </c>
      <c r="K10" s="69"/>
    </row>
    <row r="11" spans="1:11" hidden="1" outlineLevel="1" x14ac:dyDescent="0.35">
      <c r="A11" s="126"/>
      <c r="B11" s="16" t="s">
        <v>20</v>
      </c>
      <c r="C11" s="16">
        <v>2.6100000000000002E-2</v>
      </c>
      <c r="D11" s="1">
        <v>1.29</v>
      </c>
      <c r="E11" s="1">
        <v>1.55E-2</v>
      </c>
      <c r="F11" s="1">
        <v>0.66600000000000004</v>
      </c>
      <c r="G11" s="1">
        <v>5.68</v>
      </c>
      <c r="H11" s="1">
        <v>0.73199999999999998</v>
      </c>
      <c r="I11" s="1">
        <v>1000</v>
      </c>
      <c r="J11" s="15">
        <v>2.61</v>
      </c>
      <c r="K11" s="69"/>
    </row>
    <row r="12" spans="1:11" hidden="1" outlineLevel="1" x14ac:dyDescent="0.35">
      <c r="A12" s="126"/>
      <c r="B12" s="16" t="s">
        <v>21</v>
      </c>
      <c r="C12" s="14"/>
      <c r="E12" s="1">
        <v>1000</v>
      </c>
      <c r="F12" s="1">
        <v>0.75600000000000001</v>
      </c>
      <c r="G12" s="1">
        <v>0.48299999999999998</v>
      </c>
      <c r="H12" s="1">
        <v>0.81100000000000005</v>
      </c>
      <c r="I12" s="1">
        <v>8.1000000000000003E-2</v>
      </c>
      <c r="J12" s="15">
        <v>1.34</v>
      </c>
      <c r="K12" s="69"/>
    </row>
    <row r="13" spans="1:11" hidden="1" outlineLevel="1" x14ac:dyDescent="0.35">
      <c r="A13" s="126"/>
      <c r="B13" s="16" t="s">
        <v>22</v>
      </c>
      <c r="C13" s="14"/>
      <c r="F13" s="1">
        <v>0.72099999999999997</v>
      </c>
      <c r="G13" s="1">
        <v>0.30499999999999999</v>
      </c>
      <c r="H13" s="1">
        <v>0.95199999999999996</v>
      </c>
      <c r="I13" s="1">
        <v>65.3</v>
      </c>
      <c r="J13" s="15">
        <v>10.5</v>
      </c>
      <c r="K13" s="69"/>
    </row>
    <row r="14" spans="1:11" hidden="1" outlineLevel="1" x14ac:dyDescent="0.35">
      <c r="A14" s="126"/>
      <c r="B14" s="16" t="s">
        <v>23</v>
      </c>
      <c r="C14" s="14"/>
      <c r="H14" s="1">
        <v>0.54200000000000004</v>
      </c>
      <c r="I14" s="1">
        <v>9.3100000000000002E-2</v>
      </c>
      <c r="J14" s="15">
        <v>12</v>
      </c>
      <c r="K14" s="69"/>
    </row>
    <row r="15" spans="1:11" hidden="1" outlineLevel="1" x14ac:dyDescent="0.35">
      <c r="A15" s="126"/>
      <c r="B15" s="16" t="s">
        <v>24</v>
      </c>
      <c r="C15" s="14"/>
      <c r="I15" s="1">
        <v>834</v>
      </c>
      <c r="J15" s="15">
        <v>2.46</v>
      </c>
      <c r="K15" s="69"/>
    </row>
    <row r="16" spans="1:11" hidden="1" outlineLevel="1" x14ac:dyDescent="0.35">
      <c r="A16" s="126"/>
      <c r="B16" s="16" t="s">
        <v>25</v>
      </c>
      <c r="C16" s="14"/>
      <c r="J16" s="15">
        <v>1.91</v>
      </c>
      <c r="K16" s="69"/>
    </row>
    <row r="17" spans="1:11" ht="15" hidden="1" outlineLevel="1" thickBot="1" x14ac:dyDescent="0.4">
      <c r="A17" s="127"/>
      <c r="B17" s="17" t="s">
        <v>26</v>
      </c>
      <c r="C17" s="22"/>
      <c r="D17" s="18"/>
      <c r="E17" s="18"/>
      <c r="F17" s="18"/>
      <c r="G17" s="18"/>
      <c r="H17" s="18"/>
      <c r="I17" s="18"/>
      <c r="J17" s="27">
        <v>18.5</v>
      </c>
      <c r="K17" s="69"/>
    </row>
    <row r="18" spans="1:11" collapsed="1" x14ac:dyDescent="0.35">
      <c r="A18" s="122">
        <v>2</v>
      </c>
      <c r="B18" s="4" t="s">
        <v>27</v>
      </c>
      <c r="C18" s="33">
        <v>9.6510550624850692E-15</v>
      </c>
      <c r="D18" s="5">
        <v>0.611205</v>
      </c>
      <c r="E18" s="35">
        <v>-3.4835313350078501E-2</v>
      </c>
      <c r="F18" s="35">
        <v>-4.2434948590407598E-2</v>
      </c>
      <c r="G18" s="38">
        <v>2867.6792183903499</v>
      </c>
      <c r="H18" s="35">
        <v>-0.63876185673628605</v>
      </c>
      <c r="I18" s="37">
        <v>1.52367220891374</v>
      </c>
      <c r="J18" s="39">
        <v>9.9012224413548999</v>
      </c>
      <c r="K18" s="69"/>
    </row>
    <row r="19" spans="1:11" x14ac:dyDescent="0.35">
      <c r="A19" s="123"/>
      <c r="B19" s="7" t="s">
        <v>28</v>
      </c>
      <c r="C19" s="34">
        <v>1.09289454324467E-24</v>
      </c>
      <c r="D19" s="29">
        <v>2.6638628184113999E-2</v>
      </c>
      <c r="E19" s="29">
        <v>1.67966615705511E-2</v>
      </c>
      <c r="F19" s="71">
        <v>8.2986538665943299E-2</v>
      </c>
      <c r="G19" s="72">
        <v>1.1332116756402799</v>
      </c>
      <c r="H19" s="29">
        <v>7.8442112764346303E-2</v>
      </c>
      <c r="I19" s="31">
        <v>7.7999564840402404E-3</v>
      </c>
      <c r="J19" s="30">
        <v>8.6709093615978894E-2</v>
      </c>
      <c r="K19" s="69"/>
    </row>
    <row r="20" spans="1:11" x14ac:dyDescent="0.35">
      <c r="A20" s="123"/>
      <c r="B20" s="7" t="s">
        <v>33</v>
      </c>
      <c r="C20" s="20"/>
      <c r="D20" s="29">
        <f t="shared" ref="D20:J20" si="1">D21-D18</f>
        <v>-1.8667362608030036E-2</v>
      </c>
      <c r="E20" s="29">
        <f t="shared" si="1"/>
        <v>1.77456947394877E-2</v>
      </c>
      <c r="F20" s="29">
        <f t="shared" si="1"/>
        <v>-1.6248757433224923</v>
      </c>
      <c r="G20" s="29">
        <f t="shared" si="1"/>
        <v>-1199.4107570470399</v>
      </c>
      <c r="H20" s="29">
        <f t="shared" si="1"/>
        <v>-0.52840894017133389</v>
      </c>
      <c r="I20" s="29">
        <f t="shared" si="1"/>
        <v>-1.3766679917975719</v>
      </c>
      <c r="J20" s="73">
        <f t="shared" si="1"/>
        <v>-0.15268639760100022</v>
      </c>
      <c r="K20" s="69"/>
    </row>
    <row r="21" spans="1:11" ht="15" thickBot="1" x14ac:dyDescent="0.4">
      <c r="A21" s="123"/>
      <c r="B21" s="10" t="s">
        <v>92</v>
      </c>
      <c r="C21" s="23">
        <v>1.0422553378526699E-53</v>
      </c>
      <c r="D21" s="62">
        <v>0.59253763739196996</v>
      </c>
      <c r="E21" s="63">
        <v>-1.7089618610590801E-2</v>
      </c>
      <c r="F21" s="64">
        <v>-1.6673106919128999</v>
      </c>
      <c r="G21" s="65">
        <v>1668.26846134331</v>
      </c>
      <c r="H21" s="64">
        <v>-1.1671707969076199</v>
      </c>
      <c r="I21" s="64">
        <v>0.14700421711616801</v>
      </c>
      <c r="J21" s="66">
        <v>9.7485360437538997</v>
      </c>
      <c r="K21" s="70">
        <v>1</v>
      </c>
    </row>
    <row r="22" spans="1:11" hidden="1" outlineLevel="1" x14ac:dyDescent="0.35">
      <c r="A22" s="123"/>
      <c r="B22" s="11" t="s">
        <v>16</v>
      </c>
      <c r="C22" s="21" t="s">
        <v>32</v>
      </c>
      <c r="D22" s="12" t="s">
        <v>32</v>
      </c>
      <c r="E22" s="12" t="s">
        <v>32</v>
      </c>
      <c r="F22" s="12" t="s">
        <v>32</v>
      </c>
      <c r="G22" s="12" t="s">
        <v>32</v>
      </c>
      <c r="H22" s="12" t="s">
        <v>32</v>
      </c>
      <c r="I22" s="12" t="s">
        <v>32</v>
      </c>
      <c r="J22" s="13" t="s">
        <v>32</v>
      </c>
      <c r="K22" s="69"/>
    </row>
    <row r="23" spans="1:11" hidden="1" outlineLevel="1" x14ac:dyDescent="0.35">
      <c r="A23" s="123"/>
      <c r="B23" s="14" t="s">
        <v>17</v>
      </c>
      <c r="C23" s="16">
        <v>0.01</v>
      </c>
      <c r="D23" s="1">
        <v>0.05</v>
      </c>
      <c r="E23" s="1">
        <v>0.01</v>
      </c>
      <c r="F23" s="1">
        <v>0.1</v>
      </c>
      <c r="G23" s="26">
        <v>1</v>
      </c>
      <c r="H23" s="1">
        <v>0.05</v>
      </c>
      <c r="I23" s="1">
        <v>0.05</v>
      </c>
      <c r="J23" s="15">
        <v>0.1</v>
      </c>
      <c r="K23" s="68"/>
    </row>
    <row r="24" spans="1:11" hidden="1" outlineLevel="1" x14ac:dyDescent="0.35">
      <c r="A24" s="123"/>
      <c r="B24" s="14" t="s">
        <v>31</v>
      </c>
      <c r="C24" s="16">
        <v>1.07</v>
      </c>
      <c r="D24" s="1">
        <v>1.01</v>
      </c>
      <c r="E24" s="1">
        <v>1.07</v>
      </c>
      <c r="F24" s="1">
        <v>1.62</v>
      </c>
      <c r="G24" s="1">
        <v>2.0299999999999998</v>
      </c>
      <c r="H24" s="1">
        <v>1.1399999999999999</v>
      </c>
      <c r="I24" s="1">
        <v>0.86899999999999999</v>
      </c>
      <c r="J24" s="15">
        <v>3.45</v>
      </c>
      <c r="K24" s="69"/>
    </row>
    <row r="25" spans="1:11" hidden="1" outlineLevel="1" x14ac:dyDescent="0.35">
      <c r="A25" s="123"/>
      <c r="B25" s="14" t="s">
        <v>18</v>
      </c>
      <c r="C25" s="16"/>
      <c r="D25" s="1"/>
      <c r="E25" s="1"/>
      <c r="F25" s="1"/>
      <c r="G25" s="1"/>
      <c r="H25" s="1"/>
      <c r="I25" s="1"/>
      <c r="J25" s="15"/>
      <c r="K25" s="69"/>
    </row>
    <row r="26" spans="1:11" hidden="1" outlineLevel="1" x14ac:dyDescent="0.35">
      <c r="A26" s="123"/>
      <c r="B26" s="16" t="s">
        <v>19</v>
      </c>
      <c r="C26" s="16">
        <v>2.2200000000000001E-2</v>
      </c>
      <c r="D26" s="1">
        <v>2.52E-2</v>
      </c>
      <c r="E26" s="1">
        <v>1000</v>
      </c>
      <c r="F26" s="1">
        <v>0.67100000000000004</v>
      </c>
      <c r="G26" s="1">
        <v>1000</v>
      </c>
      <c r="H26" s="1">
        <v>1000</v>
      </c>
      <c r="I26" s="1">
        <v>0.16400000000000001</v>
      </c>
      <c r="J26" s="15">
        <v>1.64</v>
      </c>
      <c r="K26" s="69"/>
    </row>
    <row r="27" spans="1:11" hidden="1" outlineLevel="1" x14ac:dyDescent="0.35">
      <c r="A27" s="123"/>
      <c r="B27" s="16" t="s">
        <v>20</v>
      </c>
      <c r="C27" s="16">
        <v>1000</v>
      </c>
      <c r="D27" s="1">
        <v>1000</v>
      </c>
      <c r="E27" s="1">
        <v>1.4800000000000001E-2</v>
      </c>
      <c r="F27" s="1">
        <v>0.628</v>
      </c>
      <c r="G27" s="1">
        <v>30.6</v>
      </c>
      <c r="H27" s="1">
        <v>0.32200000000000001</v>
      </c>
      <c r="I27" s="1">
        <v>1000</v>
      </c>
      <c r="J27" s="15">
        <v>2.2000000000000002</v>
      </c>
      <c r="K27" s="69"/>
    </row>
    <row r="28" spans="1:11" hidden="1" outlineLevel="1" x14ac:dyDescent="0.35">
      <c r="A28" s="123"/>
      <c r="B28" s="16" t="s">
        <v>21</v>
      </c>
      <c r="C28" s="14"/>
      <c r="E28" s="1">
        <v>1000</v>
      </c>
      <c r="F28" s="1">
        <v>0.68400000000000005</v>
      </c>
      <c r="G28" s="1">
        <v>0.82099999999999995</v>
      </c>
      <c r="H28" s="1">
        <v>0.57199999999999995</v>
      </c>
      <c r="I28" s="1">
        <v>8.0199999999999994E-2</v>
      </c>
      <c r="J28" s="15">
        <v>1.1399999999999999</v>
      </c>
      <c r="K28" s="69"/>
    </row>
    <row r="29" spans="1:11" hidden="1" outlineLevel="1" x14ac:dyDescent="0.35">
      <c r="A29" s="123"/>
      <c r="B29" s="16" t="s">
        <v>22</v>
      </c>
      <c r="C29" s="14"/>
      <c r="F29" s="1">
        <v>0.60699999999999998</v>
      </c>
      <c r="G29" s="1">
        <v>0.19500000000000001</v>
      </c>
      <c r="H29" s="1">
        <v>0.72299999999999998</v>
      </c>
      <c r="I29" s="1">
        <v>1000</v>
      </c>
      <c r="J29" s="15">
        <v>7.54</v>
      </c>
      <c r="K29" s="69"/>
    </row>
    <row r="30" spans="1:11" hidden="1" outlineLevel="1" x14ac:dyDescent="0.35">
      <c r="A30" s="123"/>
      <c r="B30" s="16" t="s">
        <v>23</v>
      </c>
      <c r="C30" s="14"/>
      <c r="H30" s="1">
        <v>0.34599999999999997</v>
      </c>
      <c r="I30" s="1">
        <v>0.104</v>
      </c>
      <c r="J30" s="15">
        <v>11.5</v>
      </c>
      <c r="K30" s="69"/>
    </row>
    <row r="31" spans="1:11" hidden="1" outlineLevel="1" x14ac:dyDescent="0.35">
      <c r="A31" s="123"/>
      <c r="B31" s="16" t="s">
        <v>24</v>
      </c>
      <c r="C31" s="14"/>
      <c r="I31" s="1">
        <v>832</v>
      </c>
      <c r="J31" s="15">
        <v>2.13</v>
      </c>
      <c r="K31" s="69"/>
    </row>
    <row r="32" spans="1:11" hidden="1" outlineLevel="1" x14ac:dyDescent="0.35">
      <c r="A32" s="123"/>
      <c r="B32" s="16" t="s">
        <v>25</v>
      </c>
      <c r="C32" s="14"/>
      <c r="J32" s="15">
        <v>1.6</v>
      </c>
      <c r="K32" s="69"/>
    </row>
    <row r="33" spans="1:15" ht="15" hidden="1" outlineLevel="1" thickBot="1" x14ac:dyDescent="0.4">
      <c r="A33" s="124"/>
      <c r="B33" s="17" t="s">
        <v>26</v>
      </c>
      <c r="C33" s="22"/>
      <c r="D33" s="18"/>
      <c r="E33" s="18"/>
      <c r="F33" s="18"/>
      <c r="G33" s="18"/>
      <c r="H33" s="18"/>
      <c r="I33" s="18"/>
      <c r="J33" s="27">
        <v>35.9</v>
      </c>
      <c r="K33" s="69"/>
    </row>
    <row r="34" spans="1:15" ht="16" collapsed="1" x14ac:dyDescent="0.4">
      <c r="A34" s="128">
        <v>3</v>
      </c>
      <c r="B34" s="4" t="s">
        <v>27</v>
      </c>
      <c r="C34" s="74">
        <v>-2.4429667330032201</v>
      </c>
      <c r="D34" s="35">
        <v>0.61120521576144304</v>
      </c>
      <c r="E34" s="35">
        <v>-3.4835313350078501E-2</v>
      </c>
      <c r="F34" s="35">
        <v>-4.2434948590407598E-2</v>
      </c>
      <c r="G34" s="38">
        <v>2867.6792183903499</v>
      </c>
      <c r="H34" s="35">
        <v>-0.63876185673628605</v>
      </c>
      <c r="I34" s="37">
        <v>1.52367220891374</v>
      </c>
      <c r="J34" s="39">
        <v>9.9012224413548999</v>
      </c>
      <c r="M34" s="82"/>
    </row>
    <row r="35" spans="1:15" x14ac:dyDescent="0.35">
      <c r="A35" s="129"/>
      <c r="B35" s="7" t="s">
        <v>28</v>
      </c>
      <c r="C35" s="75">
        <v>1.8464932065991</v>
      </c>
      <c r="D35" s="29">
        <v>2.2946571377181899E-2</v>
      </c>
      <c r="E35" s="29">
        <v>2.2946571377181899E-2</v>
      </c>
      <c r="F35" s="29">
        <v>0.122095032989917</v>
      </c>
      <c r="G35" s="72">
        <v>313.13795489299099</v>
      </c>
      <c r="H35" s="29">
        <v>2.7975476989126301E-2</v>
      </c>
      <c r="I35" s="31">
        <v>1.46819162815102E-2</v>
      </c>
      <c r="J35" s="30">
        <v>3.3096657789035103E-2</v>
      </c>
    </row>
    <row r="36" spans="1:15" x14ac:dyDescent="0.35">
      <c r="A36" s="129"/>
      <c r="B36" s="7" t="s">
        <v>33</v>
      </c>
      <c r="C36" s="75">
        <f t="shared" ref="C36:J36" si="2">C37-C34</f>
        <v>2.4283255887379402</v>
      </c>
      <c r="D36" s="29">
        <f t="shared" si="2"/>
        <v>-0.45205358605246304</v>
      </c>
      <c r="E36" s="29">
        <f t="shared" si="2"/>
        <v>2.5850452547992581E-2</v>
      </c>
      <c r="F36" s="29">
        <f t="shared" si="2"/>
        <v>-0.64482074561698532</v>
      </c>
      <c r="G36" s="29">
        <f t="shared" si="2"/>
        <v>1709.5200193475403</v>
      </c>
      <c r="H36" s="29">
        <f t="shared" si="2"/>
        <v>1.4307487938347019E-2</v>
      </c>
      <c r="I36" s="29">
        <f t="shared" si="2"/>
        <v>-1.5098076341323792</v>
      </c>
      <c r="J36" s="73">
        <f t="shared" si="2"/>
        <v>-5.4180682761000298E-2</v>
      </c>
    </row>
    <row r="37" spans="1:15" ht="15" thickBot="1" x14ac:dyDescent="0.4">
      <c r="A37" s="129"/>
      <c r="B37" s="10" t="s">
        <v>92</v>
      </c>
      <c r="C37" s="76">
        <v>-1.4641144265279699E-2</v>
      </c>
      <c r="D37" s="62">
        <v>0.15915162970898</v>
      </c>
      <c r="E37" s="63">
        <v>-8.9848608020859193E-3</v>
      </c>
      <c r="F37" s="64">
        <v>-0.68725569420739296</v>
      </c>
      <c r="G37" s="80">
        <v>4577.1992377378901</v>
      </c>
      <c r="H37" s="83">
        <v>-0.62445436879793903</v>
      </c>
      <c r="I37" s="64">
        <v>1.3864574781360901E-2</v>
      </c>
      <c r="J37" s="66">
        <v>9.8470417585938996</v>
      </c>
    </row>
    <row r="38" spans="1:15" hidden="1" outlineLevel="1" x14ac:dyDescent="0.35">
      <c r="A38" s="129"/>
      <c r="B38" s="11" t="s">
        <v>16</v>
      </c>
      <c r="C38" s="77" t="s">
        <v>90</v>
      </c>
      <c r="D38" s="79" t="s">
        <v>91</v>
      </c>
      <c r="E38" s="79" t="s">
        <v>91</v>
      </c>
      <c r="F38" s="79" t="s">
        <v>91</v>
      </c>
      <c r="G38" s="12" t="s">
        <v>32</v>
      </c>
      <c r="H38" s="12" t="s">
        <v>32</v>
      </c>
      <c r="I38" s="12" t="s">
        <v>32</v>
      </c>
      <c r="J38" s="13" t="s">
        <v>32</v>
      </c>
    </row>
    <row r="39" spans="1:15" hidden="1" outlineLevel="1" x14ac:dyDescent="0.35">
      <c r="A39" s="129"/>
      <c r="B39" s="14" t="s">
        <v>17</v>
      </c>
      <c r="C39" s="78">
        <v>0.5</v>
      </c>
      <c r="D39" s="1">
        <v>0.05</v>
      </c>
      <c r="E39" s="1">
        <v>0.01</v>
      </c>
      <c r="F39" s="81">
        <v>0.01</v>
      </c>
      <c r="G39" s="26">
        <v>1</v>
      </c>
      <c r="H39" s="1">
        <v>0.05</v>
      </c>
      <c r="I39" s="1">
        <v>0.05</v>
      </c>
      <c r="J39" s="15">
        <v>0.1</v>
      </c>
    </row>
    <row r="40" spans="1:15" hidden="1" outlineLevel="1" x14ac:dyDescent="0.35">
      <c r="A40" s="129"/>
      <c r="B40" s="14" t="s">
        <v>31</v>
      </c>
      <c r="C40" s="16">
        <v>1.02</v>
      </c>
      <c r="D40" s="1">
        <v>0.98699999999999999</v>
      </c>
      <c r="E40" s="1">
        <v>1.08</v>
      </c>
      <c r="F40" s="1">
        <v>1.39</v>
      </c>
      <c r="G40" s="1">
        <v>1.77</v>
      </c>
      <c r="H40" s="1">
        <v>1</v>
      </c>
      <c r="I40" s="1">
        <v>0.86899999999999999</v>
      </c>
      <c r="J40" s="15">
        <v>2.2599999999999998</v>
      </c>
    </row>
    <row r="41" spans="1:15" ht="16" hidden="1" outlineLevel="1" x14ac:dyDescent="0.4">
      <c r="A41" s="129"/>
      <c r="B41" s="14" t="s">
        <v>18</v>
      </c>
      <c r="C41" s="16"/>
      <c r="D41" s="1"/>
      <c r="E41" s="1"/>
      <c r="F41" s="1"/>
      <c r="G41" s="1"/>
      <c r="H41" s="1"/>
      <c r="I41" s="1"/>
      <c r="J41" s="15"/>
      <c r="O41" s="82"/>
    </row>
    <row r="42" spans="1:15" ht="16" hidden="1" outlineLevel="1" x14ac:dyDescent="0.4">
      <c r="A42" s="129"/>
      <c r="B42" s="16" t="s">
        <v>19</v>
      </c>
      <c r="C42" s="16">
        <v>0.05</v>
      </c>
      <c r="D42" s="1">
        <v>0.14499999999999999</v>
      </c>
      <c r="E42" s="1">
        <v>0.17699999999999999</v>
      </c>
      <c r="F42" s="1">
        <v>0.56699999999999995</v>
      </c>
      <c r="G42" s="1">
        <v>0.82599999999999996</v>
      </c>
      <c r="H42" s="1">
        <v>5.5899999999999998E-2</v>
      </c>
      <c r="I42" s="1">
        <v>2.92</v>
      </c>
      <c r="J42" s="15">
        <v>0.98399999999999999</v>
      </c>
      <c r="O42" s="82"/>
    </row>
    <row r="43" spans="1:15" ht="16" hidden="1" outlineLevel="1" x14ac:dyDescent="0.4">
      <c r="A43" s="129"/>
      <c r="B43" s="16" t="s">
        <v>20</v>
      </c>
      <c r="C43" s="16">
        <v>0.05</v>
      </c>
      <c r="D43" s="1">
        <v>0.14499999999999999</v>
      </c>
      <c r="E43" s="1">
        <v>0.17699999999999999</v>
      </c>
      <c r="F43" s="1">
        <v>0.56699999999999995</v>
      </c>
      <c r="G43" s="1">
        <v>1.25</v>
      </c>
      <c r="H43" s="1">
        <v>4.6900000000000004</v>
      </c>
      <c r="I43" s="1">
        <v>1000</v>
      </c>
      <c r="J43" s="15">
        <v>1.9</v>
      </c>
      <c r="O43" s="82"/>
    </row>
    <row r="44" spans="1:15" ht="16" hidden="1" outlineLevel="1" x14ac:dyDescent="0.4">
      <c r="A44" s="129"/>
      <c r="B44" s="16" t="s">
        <v>21</v>
      </c>
      <c r="C44" s="14"/>
      <c r="E44" s="1">
        <v>0.17699999999999999</v>
      </c>
      <c r="F44" s="1">
        <v>0.56699999999999995</v>
      </c>
      <c r="G44" s="1">
        <v>0.57399999999999995</v>
      </c>
      <c r="H44" s="1">
        <v>6.8700000000000002E-3</v>
      </c>
      <c r="I44" s="1">
        <v>2.1100000000000001E-2</v>
      </c>
      <c r="J44" s="15">
        <v>0.91400000000000003</v>
      </c>
      <c r="O44" s="82"/>
    </row>
    <row r="45" spans="1:15" ht="16" hidden="1" outlineLevel="1" x14ac:dyDescent="0.4">
      <c r="A45" s="129"/>
      <c r="B45" s="16" t="s">
        <v>22</v>
      </c>
      <c r="C45" s="14"/>
      <c r="F45" s="1">
        <v>0.56699999999999995</v>
      </c>
      <c r="G45" s="1">
        <v>0.61699999999999999</v>
      </c>
      <c r="H45" s="1">
        <v>5.6599999999999998E-2</v>
      </c>
      <c r="I45" s="1">
        <v>66.2</v>
      </c>
      <c r="J45" s="15">
        <v>1.57</v>
      </c>
      <c r="O45" s="82"/>
    </row>
    <row r="46" spans="1:15" hidden="1" outlineLevel="1" x14ac:dyDescent="0.35">
      <c r="A46" s="129"/>
      <c r="B46" s="16" t="s">
        <v>23</v>
      </c>
      <c r="C46" s="14"/>
      <c r="H46" s="1">
        <v>0.158</v>
      </c>
      <c r="I46" s="1">
        <v>0.13400000000000001</v>
      </c>
      <c r="J46" s="15">
        <v>8.3699999999999992</v>
      </c>
    </row>
    <row r="47" spans="1:15" hidden="1" outlineLevel="1" x14ac:dyDescent="0.35">
      <c r="A47" s="129"/>
      <c r="B47" s="16" t="s">
        <v>24</v>
      </c>
      <c r="C47" s="14"/>
      <c r="I47" s="1">
        <v>834</v>
      </c>
      <c r="J47" s="15">
        <v>1000</v>
      </c>
    </row>
    <row r="48" spans="1:15" hidden="1" outlineLevel="1" x14ac:dyDescent="0.35">
      <c r="A48" s="129"/>
      <c r="B48" s="16" t="s">
        <v>25</v>
      </c>
      <c r="C48" s="14"/>
      <c r="J48" s="15">
        <v>1.19</v>
      </c>
    </row>
    <row r="49" spans="1:10" ht="15" hidden="1" outlineLevel="1" thickBot="1" x14ac:dyDescent="0.4">
      <c r="A49" s="130"/>
      <c r="B49" s="17" t="s">
        <v>26</v>
      </c>
      <c r="C49" s="22"/>
      <c r="D49" s="18"/>
      <c r="E49" s="18"/>
      <c r="F49" s="18"/>
      <c r="G49" s="18"/>
      <c r="H49" s="18"/>
      <c r="I49" s="18"/>
      <c r="J49" s="27">
        <v>1000</v>
      </c>
    </row>
    <row r="50" spans="1:10" collapsed="1" x14ac:dyDescent="0.35">
      <c r="A50" s="122">
        <v>4</v>
      </c>
      <c r="B50" s="4" t="s">
        <v>27</v>
      </c>
      <c r="C50" s="74">
        <f>C34</f>
        <v>-2.4429667330032201</v>
      </c>
      <c r="D50" s="35">
        <v>0.61120521576144304</v>
      </c>
      <c r="E50" s="35">
        <f>E37</f>
        <v>-8.9848608020859193E-3</v>
      </c>
      <c r="F50" s="35">
        <v>-4.2434948590407598E-2</v>
      </c>
      <c r="G50" s="38">
        <f>G37</f>
        <v>4577.1992377378901</v>
      </c>
      <c r="H50" s="35">
        <f>H37</f>
        <v>-0.62445436879793903</v>
      </c>
      <c r="I50" s="37">
        <v>1.52367220891374</v>
      </c>
      <c r="J50" s="39">
        <v>9.9012224413548999</v>
      </c>
    </row>
    <row r="51" spans="1:10" x14ac:dyDescent="0.35">
      <c r="A51" s="123"/>
      <c r="B51" s="7" t="s">
        <v>28</v>
      </c>
      <c r="C51" s="75">
        <v>1.8464932065991</v>
      </c>
      <c r="D51" s="29">
        <v>2.2946571377181899E-2</v>
      </c>
      <c r="E51" s="29">
        <v>2.2946571377181899E-2</v>
      </c>
      <c r="F51" s="29">
        <v>0.122095032989917</v>
      </c>
      <c r="G51" s="72">
        <v>313.13795489299099</v>
      </c>
      <c r="H51" s="29">
        <v>2.7975476989126301E-2</v>
      </c>
      <c r="I51" s="31">
        <v>1.46819162815102E-2</v>
      </c>
      <c r="J51" s="30">
        <v>3.3096657789035103E-2</v>
      </c>
    </row>
    <row r="52" spans="1:10" x14ac:dyDescent="0.35">
      <c r="A52" s="123"/>
      <c r="B52" s="7" t="s">
        <v>33</v>
      </c>
      <c r="C52" s="75">
        <f t="shared" ref="C52:J52" si="3">C53-C50</f>
        <v>-49.693283748366085</v>
      </c>
      <c r="D52" s="29">
        <f t="shared" si="3"/>
        <v>2.1848516485370006E-2</v>
      </c>
      <c r="E52" s="29">
        <f t="shared" si="3"/>
        <v>-0.12030451243452207</v>
      </c>
      <c r="F52" s="29">
        <f t="shared" si="3"/>
        <v>-32.342144406743394</v>
      </c>
      <c r="G52" s="29">
        <f t="shared" si="3"/>
        <v>1002.2012738980402</v>
      </c>
      <c r="H52" s="29">
        <f t="shared" si="3"/>
        <v>0.12070018938640303</v>
      </c>
      <c r="I52" s="29">
        <f t="shared" si="3"/>
        <v>0.39997960077180994</v>
      </c>
      <c r="J52" s="73">
        <f t="shared" si="3"/>
        <v>2.5200193181600383E-2</v>
      </c>
    </row>
    <row r="53" spans="1:10" ht="15" thickBot="1" x14ac:dyDescent="0.4">
      <c r="A53" s="123"/>
      <c r="B53" s="10" t="s">
        <v>92</v>
      </c>
      <c r="C53" s="104">
        <v>-52.136250481369302</v>
      </c>
      <c r="D53" s="100">
        <v>0.63305373224681305</v>
      </c>
      <c r="E53" s="101">
        <v>-0.129289373236608</v>
      </c>
      <c r="F53" s="64">
        <v>-32.384579355333798</v>
      </c>
      <c r="G53" s="80">
        <v>5579.4005116359303</v>
      </c>
      <c r="H53" s="83">
        <v>-0.503754179411536</v>
      </c>
      <c r="I53" s="102">
        <v>1.9236518096855499</v>
      </c>
      <c r="J53" s="103">
        <v>9.9264226345365003</v>
      </c>
    </row>
    <row r="54" spans="1:10" hidden="1" outlineLevel="1" x14ac:dyDescent="0.35">
      <c r="A54" s="123"/>
      <c r="B54" s="11" t="s">
        <v>16</v>
      </c>
      <c r="C54" s="85" t="s">
        <v>90</v>
      </c>
      <c r="D54" s="86" t="s">
        <v>113</v>
      </c>
      <c r="E54" s="86" t="s">
        <v>91</v>
      </c>
      <c r="F54" s="86" t="s">
        <v>91</v>
      </c>
      <c r="G54" s="87" t="s">
        <v>32</v>
      </c>
      <c r="H54" s="87" t="s">
        <v>32</v>
      </c>
      <c r="I54" s="87" t="s">
        <v>32</v>
      </c>
      <c r="J54" s="88" t="s">
        <v>32</v>
      </c>
    </row>
    <row r="55" spans="1:10" hidden="1" outlineLevel="1" x14ac:dyDescent="0.35">
      <c r="A55" s="123"/>
      <c r="B55" s="14" t="s">
        <v>17</v>
      </c>
      <c r="C55" s="89">
        <v>0.5</v>
      </c>
      <c r="D55" s="90">
        <v>0.05</v>
      </c>
      <c r="E55" s="90">
        <v>0.01</v>
      </c>
      <c r="F55" s="91">
        <v>0.01</v>
      </c>
      <c r="G55" s="92">
        <v>1</v>
      </c>
      <c r="H55" s="90">
        <v>0.05</v>
      </c>
      <c r="I55" s="90">
        <v>0.05</v>
      </c>
      <c r="J55" s="93">
        <v>0.1</v>
      </c>
    </row>
    <row r="56" spans="1:10" hidden="1" outlineLevel="1" x14ac:dyDescent="0.35">
      <c r="A56" s="123"/>
      <c r="B56" s="14" t="s">
        <v>31</v>
      </c>
      <c r="C56" s="94">
        <v>1.02</v>
      </c>
      <c r="D56" s="90">
        <v>0.98699999999999999</v>
      </c>
      <c r="E56" s="90">
        <v>1.08</v>
      </c>
      <c r="F56" s="90">
        <v>1.39</v>
      </c>
      <c r="G56" s="90">
        <v>1.77</v>
      </c>
      <c r="H56" s="90">
        <v>1</v>
      </c>
      <c r="I56" s="90">
        <v>0.86899999999999999</v>
      </c>
      <c r="J56" s="93">
        <v>2.2599999999999998</v>
      </c>
    </row>
    <row r="57" spans="1:10" hidden="1" outlineLevel="1" x14ac:dyDescent="0.35">
      <c r="A57" s="123"/>
      <c r="B57" s="14" t="s">
        <v>18</v>
      </c>
      <c r="C57" s="94"/>
      <c r="D57" s="90"/>
      <c r="E57" s="90"/>
      <c r="F57" s="90"/>
      <c r="G57" s="90"/>
      <c r="H57" s="90"/>
      <c r="I57" s="90"/>
      <c r="J57" s="93"/>
    </row>
    <row r="58" spans="1:10" hidden="1" outlineLevel="1" x14ac:dyDescent="0.35">
      <c r="A58" s="123"/>
      <c r="B58" s="16" t="s">
        <v>19</v>
      </c>
      <c r="C58" s="94">
        <v>0.05</v>
      </c>
      <c r="D58" s="90">
        <v>0.14499999999999999</v>
      </c>
      <c r="E58" s="90">
        <v>0.17699999999999999</v>
      </c>
      <c r="F58" s="90">
        <v>0.56699999999999995</v>
      </c>
      <c r="G58" s="90">
        <v>0.82599999999999996</v>
      </c>
      <c r="H58" s="90">
        <v>5.5899999999999998E-2</v>
      </c>
      <c r="I58" s="90">
        <v>2.92</v>
      </c>
      <c r="J58" s="93">
        <v>0.98399999999999999</v>
      </c>
    </row>
    <row r="59" spans="1:10" hidden="1" outlineLevel="1" x14ac:dyDescent="0.35">
      <c r="A59" s="123"/>
      <c r="B59" s="16" t="s">
        <v>20</v>
      </c>
      <c r="C59" s="94">
        <v>0.05</v>
      </c>
      <c r="D59" s="90">
        <v>0.14499999999999999</v>
      </c>
      <c r="E59" s="90">
        <v>0.17699999999999999</v>
      </c>
      <c r="F59" s="90">
        <v>0.56699999999999995</v>
      </c>
      <c r="G59" s="90">
        <v>1.25</v>
      </c>
      <c r="H59" s="90">
        <v>4.6900000000000004</v>
      </c>
      <c r="I59" s="90">
        <v>1000</v>
      </c>
      <c r="J59" s="93">
        <v>1.9</v>
      </c>
    </row>
    <row r="60" spans="1:10" hidden="1" outlineLevel="1" x14ac:dyDescent="0.35">
      <c r="A60" s="123"/>
      <c r="B60" s="16" t="s">
        <v>21</v>
      </c>
      <c r="C60" s="95"/>
      <c r="D60" s="96"/>
      <c r="E60" s="90">
        <v>0.17699999999999999</v>
      </c>
      <c r="F60" s="90">
        <v>0.56699999999999995</v>
      </c>
      <c r="G60" s="90">
        <v>0.57399999999999995</v>
      </c>
      <c r="H60" s="90">
        <v>6.8700000000000002E-3</v>
      </c>
      <c r="I60" s="90">
        <v>2.1100000000000001E-2</v>
      </c>
      <c r="J60" s="93">
        <v>0.91400000000000003</v>
      </c>
    </row>
    <row r="61" spans="1:10" hidden="1" outlineLevel="1" x14ac:dyDescent="0.35">
      <c r="A61" s="123"/>
      <c r="B61" s="16" t="s">
        <v>22</v>
      </c>
      <c r="C61" s="95"/>
      <c r="D61" s="96"/>
      <c r="E61" s="96"/>
      <c r="F61" s="90">
        <v>0.56699999999999995</v>
      </c>
      <c r="G61" s="90">
        <v>0.61699999999999999</v>
      </c>
      <c r="H61" s="90">
        <v>5.6599999999999998E-2</v>
      </c>
      <c r="I61" s="90">
        <v>66.2</v>
      </c>
      <c r="J61" s="93">
        <v>1.57</v>
      </c>
    </row>
    <row r="62" spans="1:10" hidden="1" outlineLevel="1" x14ac:dyDescent="0.35">
      <c r="A62" s="123"/>
      <c r="B62" s="16" t="s">
        <v>23</v>
      </c>
      <c r="C62" s="95"/>
      <c r="D62" s="96"/>
      <c r="E62" s="96"/>
      <c r="F62" s="96"/>
      <c r="G62" s="96"/>
      <c r="H62" s="90">
        <v>0.158</v>
      </c>
      <c r="I62" s="90">
        <v>0.13400000000000001</v>
      </c>
      <c r="J62" s="93">
        <v>8.3699999999999992</v>
      </c>
    </row>
    <row r="63" spans="1:10" hidden="1" outlineLevel="1" x14ac:dyDescent="0.35">
      <c r="A63" s="123"/>
      <c r="B63" s="16" t="s">
        <v>24</v>
      </c>
      <c r="C63" s="95"/>
      <c r="D63" s="96"/>
      <c r="E63" s="96"/>
      <c r="F63" s="96"/>
      <c r="G63" s="96"/>
      <c r="H63" s="96"/>
      <c r="I63" s="90">
        <v>834</v>
      </c>
      <c r="J63" s="93">
        <v>1000</v>
      </c>
    </row>
    <row r="64" spans="1:10" hidden="1" outlineLevel="1" x14ac:dyDescent="0.35">
      <c r="A64" s="123"/>
      <c r="B64" s="16" t="s">
        <v>25</v>
      </c>
      <c r="C64" s="95"/>
      <c r="D64" s="96"/>
      <c r="E64" s="96"/>
      <c r="F64" s="96"/>
      <c r="G64" s="96"/>
      <c r="H64" s="96"/>
      <c r="I64" s="96"/>
      <c r="J64" s="93">
        <v>1.19</v>
      </c>
    </row>
    <row r="65" spans="1:10" ht="15" hidden="1" outlineLevel="1" thickBot="1" x14ac:dyDescent="0.4">
      <c r="A65" s="124"/>
      <c r="B65" s="17" t="s">
        <v>26</v>
      </c>
      <c r="C65" s="97"/>
      <c r="D65" s="98"/>
      <c r="E65" s="98"/>
      <c r="F65" s="98"/>
      <c r="G65" s="98"/>
      <c r="H65" s="98"/>
      <c r="I65" s="98"/>
      <c r="J65" s="99">
        <v>1000</v>
      </c>
    </row>
    <row r="66" spans="1:10" collapsed="1" x14ac:dyDescent="0.35">
      <c r="A66" s="122">
        <v>5</v>
      </c>
      <c r="B66" s="4" t="s">
        <v>27</v>
      </c>
      <c r="C66" s="74">
        <f>C50</f>
        <v>-2.4429667330032201</v>
      </c>
      <c r="D66" s="35">
        <v>0.63305373224681305</v>
      </c>
      <c r="E66" s="35">
        <f>E37</f>
        <v>-8.9848608020859193E-3</v>
      </c>
      <c r="F66" s="35">
        <v>-4.2434948590407598E-2</v>
      </c>
      <c r="G66" s="38">
        <f>G53</f>
        <v>5579.4005116359303</v>
      </c>
      <c r="H66" s="35">
        <f>H53</f>
        <v>-0.503754179411536</v>
      </c>
      <c r="I66" s="37">
        <f>I53</f>
        <v>1.9236518096855499</v>
      </c>
      <c r="J66" s="39">
        <v>9.9012224413548999</v>
      </c>
    </row>
    <row r="67" spans="1:10" x14ac:dyDescent="0.35">
      <c r="A67" s="123"/>
      <c r="B67" s="7" t="s">
        <v>28</v>
      </c>
      <c r="C67" s="75"/>
      <c r="D67" s="29"/>
      <c r="E67" s="29">
        <v>2.2946571377181899E-2</v>
      </c>
      <c r="F67" s="29">
        <v>0.122095032989917</v>
      </c>
      <c r="G67" s="72">
        <v>313.13795489299099</v>
      </c>
      <c r="H67" s="29">
        <v>2.7975476989126301E-2</v>
      </c>
      <c r="I67" s="31">
        <v>1.46819162815102E-2</v>
      </c>
      <c r="J67" s="30">
        <v>3.3096657789035103E-2</v>
      </c>
    </row>
    <row r="68" spans="1:10" x14ac:dyDescent="0.35">
      <c r="A68" s="123"/>
      <c r="B68" s="7" t="s">
        <v>33</v>
      </c>
      <c r="C68" s="75">
        <f t="shared" ref="C68:J68" si="4">C69-C66</f>
        <v>-19.887281706207279</v>
      </c>
      <c r="D68" s="29">
        <f t="shared" si="4"/>
        <v>-0.24053564158852903</v>
      </c>
      <c r="E68" s="29">
        <f t="shared" si="4"/>
        <v>-2.7599613448681681E-2</v>
      </c>
      <c r="F68" s="29">
        <f t="shared" si="4"/>
        <v>-0.50082203393310032</v>
      </c>
      <c r="G68" s="29">
        <f t="shared" si="4"/>
        <v>-1549.2028932258304</v>
      </c>
      <c r="H68" s="29">
        <f t="shared" si="4"/>
        <v>-0.21921030635153804</v>
      </c>
      <c r="I68" s="29">
        <f t="shared" si="4"/>
        <v>-0.92123957312287996</v>
      </c>
      <c r="J68" s="73">
        <f t="shared" si="4"/>
        <v>-0.51085544533250982</v>
      </c>
    </row>
    <row r="69" spans="1:10" ht="15" thickBot="1" x14ac:dyDescent="0.4">
      <c r="A69" s="123"/>
      <c r="B69" s="10" t="s">
        <v>92</v>
      </c>
      <c r="C69" s="104">
        <v>-22.3302484392105</v>
      </c>
      <c r="D69" s="107">
        <v>0.39251809065828402</v>
      </c>
      <c r="E69" s="101">
        <v>-3.65844742507676E-2</v>
      </c>
      <c r="F69" s="64">
        <v>-0.54325698252350796</v>
      </c>
      <c r="G69" s="108">
        <v>4030.1976184100999</v>
      </c>
      <c r="H69" s="101">
        <v>-0.72296448576307404</v>
      </c>
      <c r="I69" s="101">
        <v>1.00241223656267</v>
      </c>
      <c r="J69" s="109">
        <v>9.3903669960223901</v>
      </c>
    </row>
    <row r="70" spans="1:10" hidden="1" outlineLevel="1" x14ac:dyDescent="0.35">
      <c r="A70" s="123"/>
      <c r="B70" s="11" t="s">
        <v>16</v>
      </c>
      <c r="C70" s="106" t="s">
        <v>110</v>
      </c>
      <c r="D70" s="86" t="s">
        <v>112</v>
      </c>
      <c r="E70" s="86" t="s">
        <v>91</v>
      </c>
      <c r="F70" s="86" t="s">
        <v>91</v>
      </c>
      <c r="G70" s="87" t="s">
        <v>32</v>
      </c>
      <c r="H70" s="87" t="s">
        <v>32</v>
      </c>
      <c r="I70" s="87" t="s">
        <v>32</v>
      </c>
      <c r="J70" s="88" t="s">
        <v>32</v>
      </c>
    </row>
    <row r="71" spans="1:10" hidden="1" outlineLevel="1" x14ac:dyDescent="0.35">
      <c r="A71" s="123"/>
      <c r="B71" s="14" t="s">
        <v>17</v>
      </c>
      <c r="C71" s="89"/>
      <c r="D71" s="90"/>
      <c r="E71" s="110">
        <v>0.01</v>
      </c>
      <c r="F71" s="91">
        <v>0.01</v>
      </c>
      <c r="G71" s="92">
        <v>1</v>
      </c>
      <c r="H71" s="90">
        <v>0.05</v>
      </c>
      <c r="I71" s="90">
        <v>0.05</v>
      </c>
      <c r="J71" s="93">
        <v>0.1</v>
      </c>
    </row>
    <row r="72" spans="1:10" hidden="1" outlineLevel="1" x14ac:dyDescent="0.35">
      <c r="A72" s="123"/>
      <c r="B72" s="14" t="s">
        <v>31</v>
      </c>
      <c r="C72" s="94">
        <v>0.89</v>
      </c>
      <c r="D72" s="90"/>
      <c r="E72" s="90">
        <v>1.08</v>
      </c>
      <c r="F72" s="90">
        <v>1.39</v>
      </c>
      <c r="G72" s="90">
        <v>1.33</v>
      </c>
      <c r="H72" s="90">
        <v>1.08</v>
      </c>
      <c r="I72" s="90">
        <v>0.98799999999999999</v>
      </c>
      <c r="J72" s="93">
        <v>2.2599999999999998</v>
      </c>
    </row>
    <row r="73" spans="1:10" hidden="1" outlineLevel="1" x14ac:dyDescent="0.35">
      <c r="A73" s="123"/>
      <c r="B73" s="14" t="s">
        <v>18</v>
      </c>
      <c r="C73" s="94"/>
      <c r="D73" s="90"/>
      <c r="E73" s="90"/>
      <c r="F73" s="90"/>
      <c r="G73" s="90"/>
      <c r="H73" s="90"/>
      <c r="I73" s="90"/>
      <c r="J73" s="93"/>
    </row>
    <row r="74" spans="1:10" hidden="1" outlineLevel="1" x14ac:dyDescent="0.35">
      <c r="A74" s="123"/>
      <c r="B74" s="16" t="s">
        <v>19</v>
      </c>
      <c r="C74" s="94">
        <v>0.13900000000000001</v>
      </c>
      <c r="D74" s="90"/>
      <c r="E74" s="90">
        <v>0.17699999999999999</v>
      </c>
      <c r="F74" s="90">
        <v>0.56699999999999995</v>
      </c>
      <c r="G74" s="90">
        <v>0.36899999999999999</v>
      </c>
      <c r="H74" s="90">
        <v>0.28699999999999998</v>
      </c>
      <c r="I74" s="90">
        <v>0.83499999999999996</v>
      </c>
      <c r="J74" s="93">
        <v>0.98399999999999999</v>
      </c>
    </row>
    <row r="75" spans="1:10" hidden="1" outlineLevel="1" x14ac:dyDescent="0.35">
      <c r="A75" s="123"/>
      <c r="B75" s="16" t="s">
        <v>20</v>
      </c>
      <c r="C75" s="94"/>
      <c r="D75" s="90"/>
      <c r="E75" s="90">
        <v>0.17699999999999999</v>
      </c>
      <c r="F75" s="90">
        <v>0.56699999999999995</v>
      </c>
      <c r="G75" s="90">
        <v>2.69</v>
      </c>
      <c r="H75" s="90">
        <v>0.90400000000000003</v>
      </c>
      <c r="I75" s="90">
        <v>0.622</v>
      </c>
      <c r="J75" s="93">
        <v>1.9</v>
      </c>
    </row>
    <row r="76" spans="1:10" hidden="1" outlineLevel="1" x14ac:dyDescent="0.35">
      <c r="A76" s="123"/>
      <c r="B76" s="16" t="s">
        <v>21</v>
      </c>
      <c r="C76" s="95"/>
      <c r="D76" s="96"/>
      <c r="E76" s="90">
        <v>0.17699999999999999</v>
      </c>
      <c r="F76" s="90">
        <v>0.56699999999999995</v>
      </c>
      <c r="G76" s="90">
        <v>0.31900000000000001</v>
      </c>
      <c r="H76" s="90">
        <v>0.57899999999999996</v>
      </c>
      <c r="I76" s="90">
        <v>2</v>
      </c>
      <c r="J76" s="93">
        <v>0.91400000000000003</v>
      </c>
    </row>
    <row r="77" spans="1:10" hidden="1" outlineLevel="1" x14ac:dyDescent="0.35">
      <c r="A77" s="123"/>
      <c r="B77" s="16" t="s">
        <v>22</v>
      </c>
      <c r="C77" s="95"/>
      <c r="D77" s="96"/>
      <c r="E77" s="96"/>
      <c r="F77" s="90">
        <v>0.56699999999999995</v>
      </c>
      <c r="G77" s="90">
        <v>3.48</v>
      </c>
      <c r="H77" s="90">
        <v>0.73299999999999998</v>
      </c>
      <c r="I77" s="90">
        <v>0.64100000000000001</v>
      </c>
      <c r="J77" s="93">
        <v>1.57</v>
      </c>
    </row>
    <row r="78" spans="1:10" hidden="1" outlineLevel="1" x14ac:dyDescent="0.35">
      <c r="A78" s="123"/>
      <c r="B78" s="16" t="s">
        <v>23</v>
      </c>
      <c r="C78" s="95"/>
      <c r="D78" s="96"/>
      <c r="E78" s="96"/>
      <c r="F78" s="96"/>
      <c r="G78" s="96"/>
      <c r="H78" s="90">
        <v>0.71799999999999997</v>
      </c>
      <c r="I78" s="90">
        <v>0.26800000000000002</v>
      </c>
      <c r="J78" s="93">
        <v>8.3699999999999992</v>
      </c>
    </row>
    <row r="79" spans="1:10" hidden="1" outlineLevel="1" x14ac:dyDescent="0.35">
      <c r="A79" s="123"/>
      <c r="B79" s="16" t="s">
        <v>24</v>
      </c>
      <c r="C79" s="95"/>
      <c r="D79" s="96"/>
      <c r="E79" s="96"/>
      <c r="F79" s="96"/>
      <c r="G79" s="96"/>
      <c r="H79" s="96"/>
      <c r="I79" s="90">
        <v>0.46800000000000003</v>
      </c>
      <c r="J79" s="93">
        <v>1000</v>
      </c>
    </row>
    <row r="80" spans="1:10" hidden="1" outlineLevel="1" x14ac:dyDescent="0.35">
      <c r="A80" s="123"/>
      <c r="B80" s="16" t="s">
        <v>25</v>
      </c>
      <c r="C80" s="95"/>
      <c r="D80" s="96"/>
      <c r="E80" s="96"/>
      <c r="F80" s="96"/>
      <c r="G80" s="96"/>
      <c r="H80" s="96"/>
      <c r="I80" s="96"/>
      <c r="J80" s="93">
        <v>1.19</v>
      </c>
    </row>
    <row r="81" spans="1:10" ht="15" hidden="1" outlineLevel="1" thickBot="1" x14ac:dyDescent="0.4">
      <c r="A81" s="124"/>
      <c r="B81" s="17" t="s">
        <v>26</v>
      </c>
      <c r="C81" s="97"/>
      <c r="D81" s="98"/>
      <c r="E81" s="98"/>
      <c r="F81" s="98"/>
      <c r="G81" s="98"/>
      <c r="H81" s="98"/>
      <c r="I81" s="98"/>
      <c r="J81" s="99">
        <v>1000</v>
      </c>
    </row>
    <row r="82" spans="1:10" collapsed="1" x14ac:dyDescent="0.35">
      <c r="A82" s="122">
        <v>6</v>
      </c>
      <c r="B82" s="4" t="s">
        <v>27</v>
      </c>
      <c r="C82" s="74">
        <v>29.128710158895199</v>
      </c>
      <c r="D82" s="35">
        <f t="shared" ref="D82:J82" si="5">MAX(D69,D66)</f>
        <v>0.63305373224681305</v>
      </c>
      <c r="E82" s="35">
        <f t="shared" si="5"/>
        <v>-8.9848608020859193E-3</v>
      </c>
      <c r="F82" s="35">
        <f t="shared" si="5"/>
        <v>-4.2434948590407598E-2</v>
      </c>
      <c r="G82" s="35">
        <f t="shared" si="5"/>
        <v>5579.4005116359303</v>
      </c>
      <c r="H82" s="35">
        <f t="shared" si="5"/>
        <v>-0.503754179411536</v>
      </c>
      <c r="I82" s="35">
        <f t="shared" si="5"/>
        <v>1.9236518096855499</v>
      </c>
      <c r="J82" s="39">
        <f t="shared" si="5"/>
        <v>9.9012224413548999</v>
      </c>
    </row>
    <row r="83" spans="1:10" x14ac:dyDescent="0.35">
      <c r="A83" s="123"/>
      <c r="B83" s="7" t="s">
        <v>28</v>
      </c>
      <c r="C83" s="75"/>
      <c r="D83" s="29"/>
      <c r="E83" s="29">
        <v>2.2946571377181899E-2</v>
      </c>
      <c r="F83" s="29">
        <v>0.122095032989917</v>
      </c>
      <c r="G83" s="72">
        <v>313.13795489299099</v>
      </c>
      <c r="H83" s="29">
        <v>2.7975476989126301E-2</v>
      </c>
      <c r="I83" s="31">
        <v>1.46819162815102E-2</v>
      </c>
      <c r="J83" s="30">
        <v>3.3096657789035103E-2</v>
      </c>
    </row>
    <row r="84" spans="1:10" x14ac:dyDescent="0.35">
      <c r="A84" s="123"/>
      <c r="B84" s="7" t="s">
        <v>33</v>
      </c>
      <c r="C84" s="75">
        <f t="shared" ref="C84:J84" si="6">C85-C82</f>
        <v>-29.128710158895199</v>
      </c>
      <c r="D84" s="29">
        <f t="shared" si="6"/>
        <v>-0.14745867364811205</v>
      </c>
      <c r="E84" s="29">
        <f t="shared" si="6"/>
        <v>-3.0252686951240809E-3</v>
      </c>
      <c r="F84" s="29">
        <f t="shared" si="6"/>
        <v>-1.6097410119699525</v>
      </c>
      <c r="G84" s="29">
        <f t="shared" si="6"/>
        <v>-803.41371035185057</v>
      </c>
      <c r="H84" s="29">
        <f t="shared" si="6"/>
        <v>8.9896435424733023E-2</v>
      </c>
      <c r="I84" s="29">
        <f t="shared" si="6"/>
        <v>-0.21248742169632995</v>
      </c>
      <c r="J84" s="73">
        <f t="shared" si="6"/>
        <v>6.223321261570014E-2</v>
      </c>
    </row>
    <row r="85" spans="1:10" ht="15" thickBot="1" x14ac:dyDescent="0.4">
      <c r="A85" s="123"/>
      <c r="B85" s="10" t="s">
        <v>92</v>
      </c>
      <c r="C85" s="104">
        <v>0</v>
      </c>
      <c r="D85" s="107">
        <v>0.485595058598701</v>
      </c>
      <c r="E85" s="64">
        <v>-1.201012949721E-2</v>
      </c>
      <c r="F85" s="64">
        <v>-1.6521759605603601</v>
      </c>
      <c r="G85" s="108">
        <v>4775.9868012840798</v>
      </c>
      <c r="H85" s="83">
        <v>-0.41385774398680297</v>
      </c>
      <c r="I85" s="101">
        <v>1.71116438798922</v>
      </c>
      <c r="J85" s="113">
        <v>9.9634556539706001</v>
      </c>
    </row>
    <row r="86" spans="1:10" x14ac:dyDescent="0.35">
      <c r="A86" s="123"/>
      <c r="B86" s="11" t="s">
        <v>16</v>
      </c>
      <c r="C86" s="111" t="s">
        <v>110</v>
      </c>
      <c r="D86" s="86" t="s">
        <v>91</v>
      </c>
      <c r="E86" s="86" t="s">
        <v>91</v>
      </c>
      <c r="F86" s="86" t="s">
        <v>120</v>
      </c>
      <c r="G86" s="87" t="s">
        <v>32</v>
      </c>
      <c r="H86" s="87"/>
      <c r="I86" s="87" t="s">
        <v>121</v>
      </c>
      <c r="J86" s="87" t="s">
        <v>121</v>
      </c>
    </row>
    <row r="87" spans="1:10" x14ac:dyDescent="0.35">
      <c r="A87" s="123"/>
      <c r="B87" s="14" t="s">
        <v>17</v>
      </c>
      <c r="C87" s="89"/>
      <c r="D87" s="90">
        <v>0.01</v>
      </c>
      <c r="E87" s="110">
        <v>0.01</v>
      </c>
      <c r="F87" s="91"/>
      <c r="G87" s="112">
        <v>0.01</v>
      </c>
      <c r="H87" s="90"/>
      <c r="I87" s="90"/>
      <c r="J87" s="93"/>
    </row>
    <row r="88" spans="1:10" x14ac:dyDescent="0.35">
      <c r="A88" s="123"/>
      <c r="B88" s="14" t="s">
        <v>31</v>
      </c>
      <c r="C88" s="94">
        <v>0.79200000000000004</v>
      </c>
      <c r="D88" s="90">
        <v>0.96599999999999997</v>
      </c>
      <c r="E88" s="90">
        <v>1.08</v>
      </c>
      <c r="F88" s="90"/>
      <c r="G88" s="90">
        <v>1.89</v>
      </c>
      <c r="H88" s="90"/>
      <c r="I88" s="90"/>
      <c r="J88" s="93"/>
    </row>
    <row r="89" spans="1:10" x14ac:dyDescent="0.35">
      <c r="A89" s="123"/>
      <c r="B89" s="14" t="s">
        <v>18</v>
      </c>
      <c r="C89" s="94"/>
      <c r="D89" s="90"/>
      <c r="E89" s="90"/>
      <c r="F89" s="90"/>
      <c r="G89" s="90"/>
      <c r="H89" s="90"/>
      <c r="I89" s="90"/>
      <c r="J89" s="93"/>
    </row>
    <row r="90" spans="1:10" x14ac:dyDescent="0.35">
      <c r="A90" s="123"/>
      <c r="B90" s="16" t="s">
        <v>19</v>
      </c>
      <c r="C90" s="94">
        <v>7.6600000000000001E-2</v>
      </c>
      <c r="D90" s="90">
        <v>8.1000000000000003E-2</v>
      </c>
      <c r="E90" s="90">
        <v>0.17699999999999999</v>
      </c>
      <c r="F90" s="90"/>
      <c r="G90" s="90">
        <v>0.48899999999999999</v>
      </c>
      <c r="H90" s="90"/>
      <c r="I90" s="90"/>
      <c r="J90" s="93"/>
    </row>
    <row r="91" spans="1:10" x14ac:dyDescent="0.35">
      <c r="A91" s="123"/>
      <c r="B91" s="16" t="s">
        <v>20</v>
      </c>
      <c r="C91" s="94"/>
      <c r="D91" s="90"/>
      <c r="E91" s="90">
        <v>0.17699999999999999</v>
      </c>
      <c r="F91" s="90"/>
      <c r="G91" s="90">
        <v>2.86</v>
      </c>
      <c r="H91" s="90"/>
      <c r="I91" s="90"/>
      <c r="J91" s="93"/>
    </row>
    <row r="92" spans="1:10" x14ac:dyDescent="0.35">
      <c r="A92" s="123"/>
      <c r="B92" s="16" t="s">
        <v>21</v>
      </c>
      <c r="C92" s="95"/>
      <c r="D92" s="96"/>
      <c r="E92" s="90">
        <v>0.17699999999999999</v>
      </c>
      <c r="F92" s="90"/>
      <c r="G92" s="90">
        <v>0.60599999999999998</v>
      </c>
      <c r="H92" s="90"/>
      <c r="I92" s="90"/>
      <c r="J92" s="93"/>
    </row>
    <row r="93" spans="1:10" x14ac:dyDescent="0.35">
      <c r="A93" s="123"/>
      <c r="B93" s="16" t="s">
        <v>22</v>
      </c>
      <c r="C93" s="95"/>
      <c r="D93" s="96"/>
      <c r="E93" s="96"/>
      <c r="F93" s="90"/>
      <c r="G93" s="90">
        <v>1.64</v>
      </c>
      <c r="H93" s="90"/>
      <c r="I93" s="90"/>
      <c r="J93" s="93"/>
    </row>
    <row r="94" spans="1:10" x14ac:dyDescent="0.35">
      <c r="A94" s="123"/>
      <c r="B94" s="16" t="s">
        <v>23</v>
      </c>
      <c r="C94" s="95"/>
      <c r="D94" s="96"/>
      <c r="E94" s="96"/>
      <c r="F94" s="96"/>
      <c r="G94" s="96"/>
      <c r="H94" s="90"/>
      <c r="I94" s="90"/>
      <c r="J94" s="93"/>
    </row>
    <row r="95" spans="1:10" x14ac:dyDescent="0.35">
      <c r="A95" s="123"/>
      <c r="B95" s="16" t="s">
        <v>24</v>
      </c>
      <c r="C95" s="95"/>
      <c r="D95" s="96"/>
      <c r="E95" s="96"/>
      <c r="F95" s="96"/>
      <c r="G95" s="96"/>
      <c r="H95" s="96"/>
      <c r="I95" s="90"/>
      <c r="J95" s="93"/>
    </row>
    <row r="96" spans="1:10" x14ac:dyDescent="0.35">
      <c r="A96" s="123"/>
      <c r="B96" s="16" t="s">
        <v>25</v>
      </c>
      <c r="C96" s="95"/>
      <c r="D96" s="96"/>
      <c r="E96" s="96"/>
      <c r="F96" s="96"/>
      <c r="G96" s="96"/>
      <c r="H96" s="96"/>
      <c r="I96" s="96"/>
      <c r="J96" s="93"/>
    </row>
    <row r="97" spans="1:10" ht="15" thickBot="1" x14ac:dyDescent="0.4">
      <c r="A97" s="124"/>
      <c r="B97" s="17" t="s">
        <v>26</v>
      </c>
      <c r="C97" s="97"/>
      <c r="D97" s="98"/>
      <c r="E97" s="98"/>
      <c r="F97" s="98"/>
      <c r="G97" s="98"/>
      <c r="H97" s="98"/>
      <c r="I97" s="98"/>
      <c r="J97" s="99"/>
    </row>
    <row r="98" spans="1:10" x14ac:dyDescent="0.35">
      <c r="A98" s="122">
        <v>7</v>
      </c>
      <c r="B98" s="4" t="s">
        <v>27</v>
      </c>
      <c r="C98" s="74">
        <v>29.128710158895199</v>
      </c>
      <c r="D98" s="35">
        <f t="shared" ref="D98:J98" si="7">MAX(D85,D82)</f>
        <v>0.63305373224681305</v>
      </c>
      <c r="E98" s="35">
        <f t="shared" si="7"/>
        <v>-8.9848608020859193E-3</v>
      </c>
      <c r="F98" s="35">
        <f t="shared" si="7"/>
        <v>-4.2434948590407598E-2</v>
      </c>
      <c r="G98" s="35">
        <f t="shared" si="7"/>
        <v>5579.4005116359303</v>
      </c>
      <c r="H98" s="35">
        <f t="shared" si="7"/>
        <v>-0.41385774398680297</v>
      </c>
      <c r="I98" s="35">
        <f t="shared" si="7"/>
        <v>1.9236518096855499</v>
      </c>
      <c r="J98" s="39">
        <f t="shared" si="7"/>
        <v>9.9634556539706001</v>
      </c>
    </row>
    <row r="99" spans="1:10" x14ac:dyDescent="0.35">
      <c r="A99" s="123"/>
      <c r="B99" s="7" t="s">
        <v>28</v>
      </c>
      <c r="C99" s="75"/>
      <c r="D99" s="29"/>
      <c r="E99" s="29">
        <v>2.2946571377181899E-2</v>
      </c>
      <c r="F99" s="29">
        <v>0.122095032989917</v>
      </c>
      <c r="G99" s="72">
        <v>313.13795489299099</v>
      </c>
      <c r="H99" s="29">
        <v>2.7975476989126301E-2</v>
      </c>
      <c r="I99" s="31">
        <v>1.46819162815102E-2</v>
      </c>
      <c r="J99" s="30">
        <v>3.3096657789035103E-2</v>
      </c>
    </row>
    <row r="100" spans="1:10" x14ac:dyDescent="0.35">
      <c r="A100" s="123"/>
      <c r="B100" s="7" t="s">
        <v>33</v>
      </c>
      <c r="C100" s="75">
        <f t="shared" ref="C100:J100" si="8">C101-C98</f>
        <v>-54.965404018566701</v>
      </c>
      <c r="D100" s="29">
        <f t="shared" si="8"/>
        <v>-0.14960627911455704</v>
      </c>
      <c r="E100" s="29">
        <f t="shared" si="8"/>
        <v>-1.671064465466288E-2</v>
      </c>
      <c r="F100" s="29">
        <f t="shared" si="8"/>
        <v>0.38581487928509256</v>
      </c>
      <c r="G100" s="29">
        <f t="shared" si="8"/>
        <v>292.0365706295197</v>
      </c>
      <c r="H100" s="29">
        <f t="shared" si="8"/>
        <v>-2.6794835613965007E-2</v>
      </c>
      <c r="I100" s="29">
        <f t="shared" si="8"/>
        <v>0.14533817106061986</v>
      </c>
      <c r="J100" s="73">
        <f t="shared" si="8"/>
        <v>-1.3597090279500179E-2</v>
      </c>
    </row>
    <row r="101" spans="1:10" ht="15" thickBot="1" x14ac:dyDescent="0.4">
      <c r="A101" s="123"/>
      <c r="B101" s="10" t="s">
        <v>92</v>
      </c>
      <c r="C101" s="104">
        <v>-25.836693859671499</v>
      </c>
      <c r="D101" s="107">
        <v>0.48344745313225601</v>
      </c>
      <c r="E101" s="64">
        <v>-2.5695505456748799E-2</v>
      </c>
      <c r="F101" s="83">
        <v>0.34337993069468498</v>
      </c>
      <c r="G101" s="80">
        <v>5871.43708226545</v>
      </c>
      <c r="H101" s="101">
        <v>-0.44065257960076798</v>
      </c>
      <c r="I101" s="83">
        <v>2.0689899807461698</v>
      </c>
      <c r="J101" s="109">
        <v>9.9498585636910999</v>
      </c>
    </row>
    <row r="102" spans="1:10" x14ac:dyDescent="0.35">
      <c r="A102" s="123"/>
      <c r="B102" s="11" t="s">
        <v>16</v>
      </c>
      <c r="C102" s="111" t="s">
        <v>110</v>
      </c>
      <c r="D102" s="86" t="s">
        <v>91</v>
      </c>
      <c r="E102" s="86" t="s">
        <v>91</v>
      </c>
      <c r="F102" s="86" t="s">
        <v>120</v>
      </c>
      <c r="G102" s="87" t="s">
        <v>32</v>
      </c>
      <c r="H102" s="87"/>
      <c r="I102" s="87" t="s">
        <v>121</v>
      </c>
      <c r="J102" s="87" t="s">
        <v>121</v>
      </c>
    </row>
    <row r="103" spans="1:10" x14ac:dyDescent="0.35">
      <c r="A103" s="123"/>
      <c r="B103" s="14" t="s">
        <v>17</v>
      </c>
      <c r="C103" s="89"/>
      <c r="D103" s="90">
        <v>0.01</v>
      </c>
      <c r="E103" s="110">
        <v>0.01</v>
      </c>
      <c r="F103" s="91"/>
      <c r="G103" s="112">
        <v>0.01</v>
      </c>
      <c r="H103" s="90"/>
      <c r="I103" s="90"/>
      <c r="J103" s="93"/>
    </row>
    <row r="104" spans="1:10" x14ac:dyDescent="0.35">
      <c r="A104" s="123"/>
      <c r="B104" s="14" t="s">
        <v>31</v>
      </c>
      <c r="C104" s="94">
        <v>0.79200000000000004</v>
      </c>
      <c r="D104" s="90">
        <v>0.96599999999999997</v>
      </c>
      <c r="E104" s="90">
        <v>1.08</v>
      </c>
      <c r="F104" s="90"/>
      <c r="G104" s="90">
        <v>1.89</v>
      </c>
      <c r="H104" s="90"/>
      <c r="I104" s="90"/>
      <c r="J104" s="93"/>
    </row>
    <row r="105" spans="1:10" x14ac:dyDescent="0.35">
      <c r="A105" s="123"/>
      <c r="B105" s="14" t="s">
        <v>18</v>
      </c>
      <c r="C105" s="94"/>
      <c r="D105" s="90"/>
      <c r="E105" s="90"/>
      <c r="F105" s="90"/>
      <c r="G105" s="90"/>
      <c r="H105" s="90"/>
      <c r="I105" s="90"/>
      <c r="J105" s="93"/>
    </row>
    <row r="106" spans="1:10" x14ac:dyDescent="0.35">
      <c r="A106" s="123"/>
      <c r="B106" s="16" t="s">
        <v>19</v>
      </c>
      <c r="C106" s="94">
        <v>7.6600000000000001E-2</v>
      </c>
      <c r="D106" s="90">
        <v>8.1000000000000003E-2</v>
      </c>
      <c r="E106" s="90">
        <v>0.17699999999999999</v>
      </c>
      <c r="F106" s="90"/>
      <c r="G106" s="90">
        <v>0.48899999999999999</v>
      </c>
      <c r="H106" s="90"/>
      <c r="I106" s="90"/>
      <c r="J106" s="93"/>
    </row>
    <row r="107" spans="1:10" x14ac:dyDescent="0.35">
      <c r="A107" s="123"/>
      <c r="B107" s="16" t="s">
        <v>20</v>
      </c>
      <c r="C107" s="94"/>
      <c r="D107" s="90"/>
      <c r="E107" s="90">
        <v>0.17699999999999999</v>
      </c>
      <c r="F107" s="90"/>
      <c r="G107" s="90">
        <v>2.86</v>
      </c>
      <c r="H107" s="90"/>
      <c r="I107" s="90"/>
      <c r="J107" s="93"/>
    </row>
    <row r="108" spans="1:10" x14ac:dyDescent="0.35">
      <c r="A108" s="123"/>
      <c r="B108" s="16" t="s">
        <v>21</v>
      </c>
      <c r="C108" s="95"/>
      <c r="D108" s="96"/>
      <c r="E108" s="90">
        <v>0.17699999999999999</v>
      </c>
      <c r="F108" s="90"/>
      <c r="G108" s="90">
        <v>0.60599999999999998</v>
      </c>
      <c r="H108" s="90"/>
      <c r="I108" s="90"/>
      <c r="J108" s="93"/>
    </row>
    <row r="109" spans="1:10" x14ac:dyDescent="0.35">
      <c r="A109" s="123"/>
      <c r="B109" s="16" t="s">
        <v>22</v>
      </c>
      <c r="C109" s="95"/>
      <c r="D109" s="96"/>
      <c r="E109" s="96"/>
      <c r="F109" s="90"/>
      <c r="G109" s="90">
        <v>1.64</v>
      </c>
      <c r="H109" s="90"/>
      <c r="I109" s="90"/>
      <c r="J109" s="93"/>
    </row>
    <row r="110" spans="1:10" x14ac:dyDescent="0.35">
      <c r="A110" s="123"/>
      <c r="B110" s="16" t="s">
        <v>23</v>
      </c>
      <c r="C110" s="95"/>
      <c r="D110" s="96"/>
      <c r="E110" s="96"/>
      <c r="F110" s="96"/>
      <c r="G110" s="96"/>
      <c r="H110" s="90"/>
      <c r="I110" s="90"/>
      <c r="J110" s="93"/>
    </row>
    <row r="111" spans="1:10" x14ac:dyDescent="0.35">
      <c r="A111" s="123"/>
      <c r="B111" s="16" t="s">
        <v>24</v>
      </c>
      <c r="C111" s="95"/>
      <c r="D111" s="96"/>
      <c r="E111" s="96"/>
      <c r="F111" s="96"/>
      <c r="G111" s="96"/>
      <c r="H111" s="96"/>
      <c r="I111" s="90"/>
      <c r="J111" s="93"/>
    </row>
    <row r="112" spans="1:10" x14ac:dyDescent="0.35">
      <c r="A112" s="123"/>
      <c r="B112" s="16" t="s">
        <v>25</v>
      </c>
      <c r="C112" s="95"/>
      <c r="D112" s="96"/>
      <c r="E112" s="96"/>
      <c r="F112" s="96"/>
      <c r="G112" s="96"/>
      <c r="H112" s="96"/>
      <c r="I112" s="96"/>
      <c r="J112" s="93"/>
    </row>
    <row r="113" spans="1:10" ht="15" thickBot="1" x14ac:dyDescent="0.4">
      <c r="A113" s="124"/>
      <c r="B113" s="17" t="s">
        <v>26</v>
      </c>
      <c r="C113" s="97"/>
      <c r="D113" s="98"/>
      <c r="E113" s="98"/>
      <c r="F113" s="98"/>
      <c r="G113" s="98"/>
      <c r="H113" s="98"/>
      <c r="I113" s="98"/>
      <c r="J113" s="99"/>
    </row>
    <row r="114" spans="1:10" x14ac:dyDescent="0.35">
      <c r="A114" s="122">
        <v>8</v>
      </c>
      <c r="B114" s="4" t="s">
        <v>27</v>
      </c>
      <c r="C114" s="74">
        <v>29.128710158895199</v>
      </c>
      <c r="D114" s="35">
        <f t="shared" ref="D114:J114" si="9">MAX(D101,D98)</f>
        <v>0.63305373224681305</v>
      </c>
      <c r="E114" s="35">
        <f t="shared" si="9"/>
        <v>-8.9848608020859193E-3</v>
      </c>
      <c r="F114" s="35">
        <f t="shared" si="9"/>
        <v>0.34337993069468498</v>
      </c>
      <c r="G114" s="35">
        <f t="shared" si="9"/>
        <v>5871.43708226545</v>
      </c>
      <c r="H114" s="35">
        <f t="shared" si="9"/>
        <v>-0.41385774398680297</v>
      </c>
      <c r="I114" s="35">
        <f t="shared" si="9"/>
        <v>2.0689899807461698</v>
      </c>
      <c r="J114" s="39">
        <f t="shared" si="9"/>
        <v>9.9634556539706001</v>
      </c>
    </row>
    <row r="115" spans="1:10" x14ac:dyDescent="0.35">
      <c r="A115" s="123"/>
      <c r="B115" s="7" t="s">
        <v>28</v>
      </c>
      <c r="C115" s="75"/>
      <c r="D115" s="29"/>
      <c r="E115" s="29">
        <v>2.2946571377181899E-2</v>
      </c>
      <c r="F115" s="29">
        <v>0.122095032989917</v>
      </c>
      <c r="G115" s="72">
        <v>313.13795489299099</v>
      </c>
      <c r="H115" s="29">
        <v>2.7975476989126301E-2</v>
      </c>
      <c r="I115" s="31">
        <v>1.46819162815102E-2</v>
      </c>
      <c r="J115" s="30">
        <v>3.3096657789035103E-2</v>
      </c>
    </row>
    <row r="116" spans="1:10" x14ac:dyDescent="0.35">
      <c r="A116" s="123"/>
      <c r="B116" s="7" t="s">
        <v>33</v>
      </c>
      <c r="C116" s="75">
        <f t="shared" ref="C116:J116" si="10">C117-C114</f>
        <v>-44.912583651088198</v>
      </c>
      <c r="D116" s="29">
        <f t="shared" si="10"/>
        <v>-3.1149022246813041E-2</v>
      </c>
      <c r="E116" s="29">
        <f t="shared" si="10"/>
        <v>2.621598606355839E-3</v>
      </c>
      <c r="F116" s="29">
        <f t="shared" si="10"/>
        <v>-0.15207456069468497</v>
      </c>
      <c r="G116" s="29">
        <f t="shared" si="10"/>
        <v>623.64480473455023</v>
      </c>
      <c r="H116" s="29">
        <f t="shared" si="10"/>
        <v>-8.337596151002602E-2</v>
      </c>
      <c r="I116" s="29">
        <f t="shared" si="10"/>
        <v>0.62957290437922042</v>
      </c>
      <c r="J116" s="73">
        <f t="shared" si="10"/>
        <v>-4.4404962317100782E-2</v>
      </c>
    </row>
    <row r="117" spans="1:10" ht="15" thickBot="1" x14ac:dyDescent="0.4">
      <c r="A117" s="123"/>
      <c r="B117" s="10" t="s">
        <v>92</v>
      </c>
      <c r="C117" s="104">
        <v>-15.783873492193001</v>
      </c>
      <c r="D117" s="107">
        <v>0.60190471000000001</v>
      </c>
      <c r="E117" s="116">
        <v>-6.3632621957300803E-3</v>
      </c>
      <c r="F117" s="101">
        <v>0.19130537</v>
      </c>
      <c r="G117" s="80">
        <v>6495.0818870000003</v>
      </c>
      <c r="H117" s="101">
        <v>-0.49723370549682899</v>
      </c>
      <c r="I117" s="83">
        <v>2.6985628851253902</v>
      </c>
      <c r="J117" s="109">
        <v>9.9190506916534993</v>
      </c>
    </row>
    <row r="118" spans="1:10" x14ac:dyDescent="0.35">
      <c r="A118" s="123"/>
      <c r="B118" s="11" t="s">
        <v>16</v>
      </c>
      <c r="C118" s="106" t="s">
        <v>131</v>
      </c>
      <c r="D118" s="86" t="s">
        <v>91</v>
      </c>
      <c r="E118" s="86" t="s">
        <v>134</v>
      </c>
      <c r="F118" s="86" t="s">
        <v>120</v>
      </c>
      <c r="G118" s="87" t="s">
        <v>32</v>
      </c>
      <c r="H118" s="87"/>
      <c r="I118" s="87" t="s">
        <v>121</v>
      </c>
      <c r="J118" s="87" t="s">
        <v>121</v>
      </c>
    </row>
    <row r="119" spans="1:10" x14ac:dyDescent="0.35">
      <c r="A119" s="123"/>
      <c r="B119" s="14" t="s">
        <v>17</v>
      </c>
      <c r="C119" s="89"/>
      <c r="D119" s="90">
        <v>0.01</v>
      </c>
      <c r="E119" s="110">
        <v>0.01</v>
      </c>
      <c r="F119" s="91"/>
      <c r="G119" s="112">
        <v>0.01</v>
      </c>
      <c r="H119" s="90"/>
      <c r="I119" s="90"/>
      <c r="J119" s="93"/>
    </row>
    <row r="120" spans="1:10" x14ac:dyDescent="0.35">
      <c r="A120" s="123"/>
      <c r="B120" s="14" t="s">
        <v>31</v>
      </c>
      <c r="C120" s="94">
        <v>0.90700000000000003</v>
      </c>
      <c r="D120" s="90">
        <v>0.96599999999999997</v>
      </c>
      <c r="E120" s="90">
        <v>1.08</v>
      </c>
      <c r="F120" s="90"/>
      <c r="G120" s="90">
        <v>1.89</v>
      </c>
      <c r="H120" s="90"/>
      <c r="I120" s="90"/>
      <c r="J120" s="93"/>
    </row>
    <row r="121" spans="1:10" x14ac:dyDescent="0.35">
      <c r="A121" s="123"/>
      <c r="B121" s="14" t="s">
        <v>18</v>
      </c>
      <c r="C121" s="94"/>
      <c r="D121" s="90"/>
      <c r="E121" s="90"/>
      <c r="F121" s="90"/>
      <c r="G121" s="90"/>
      <c r="H121" s="90"/>
      <c r="I121" s="90"/>
      <c r="J121" s="93"/>
    </row>
    <row r="122" spans="1:10" x14ac:dyDescent="0.35">
      <c r="A122" s="123"/>
      <c r="B122" s="16" t="s">
        <v>19</v>
      </c>
      <c r="C122" s="94">
        <v>0.05</v>
      </c>
      <c r="D122" s="90">
        <v>8.1000000000000003E-2</v>
      </c>
      <c r="E122" s="90">
        <v>0.17699999999999999</v>
      </c>
      <c r="F122" s="90"/>
      <c r="G122" s="90">
        <v>0.48899999999999999</v>
      </c>
      <c r="H122" s="90"/>
      <c r="I122" s="90"/>
      <c r="J122" s="93"/>
    </row>
    <row r="123" spans="1:10" x14ac:dyDescent="0.35">
      <c r="A123" s="123"/>
      <c r="B123" s="16" t="s">
        <v>20</v>
      </c>
      <c r="C123" s="94"/>
      <c r="D123" s="90"/>
      <c r="E123" s="90">
        <v>0.17699999999999999</v>
      </c>
      <c r="F123" s="90"/>
      <c r="G123" s="90">
        <v>2.86</v>
      </c>
      <c r="H123" s="90"/>
      <c r="I123" s="90"/>
      <c r="J123" s="93"/>
    </row>
    <row r="124" spans="1:10" x14ac:dyDescent="0.35">
      <c r="A124" s="123"/>
      <c r="B124" s="16" t="s">
        <v>21</v>
      </c>
      <c r="C124" s="95"/>
      <c r="D124" s="96"/>
      <c r="E124" s="90">
        <v>0.17699999999999999</v>
      </c>
      <c r="F124" s="90"/>
      <c r="G124" s="90">
        <v>0.60599999999999998</v>
      </c>
      <c r="H124" s="90"/>
      <c r="I124" s="90"/>
      <c r="J124" s="93"/>
    </row>
    <row r="125" spans="1:10" x14ac:dyDescent="0.35">
      <c r="A125" s="123"/>
      <c r="B125" s="16" t="s">
        <v>22</v>
      </c>
      <c r="C125" s="95"/>
      <c r="D125" s="96"/>
      <c r="E125" s="96"/>
      <c r="F125" s="90"/>
      <c r="G125" s="90">
        <v>1.64</v>
      </c>
      <c r="H125" s="90"/>
      <c r="I125" s="90"/>
      <c r="J125" s="93"/>
    </row>
    <row r="126" spans="1:10" x14ac:dyDescent="0.35">
      <c r="A126" s="123"/>
      <c r="B126" s="16" t="s">
        <v>23</v>
      </c>
      <c r="C126" s="95"/>
      <c r="D126" s="96"/>
      <c r="E126" s="96"/>
      <c r="F126" s="96"/>
      <c r="G126" s="96"/>
      <c r="H126" s="90"/>
      <c r="I126" s="90"/>
      <c r="J126" s="93"/>
    </row>
    <row r="127" spans="1:10" x14ac:dyDescent="0.35">
      <c r="A127" s="123"/>
      <c r="B127" s="16" t="s">
        <v>24</v>
      </c>
      <c r="C127" s="95"/>
      <c r="D127" s="96"/>
      <c r="E127" s="96"/>
      <c r="F127" s="96"/>
      <c r="G127" s="96"/>
      <c r="H127" s="96"/>
      <c r="I127" s="90"/>
      <c r="J127" s="93"/>
    </row>
    <row r="128" spans="1:10" x14ac:dyDescent="0.35">
      <c r="A128" s="123"/>
      <c r="B128" s="16" t="s">
        <v>25</v>
      </c>
      <c r="C128" s="95"/>
      <c r="D128" s="96"/>
      <c r="E128" s="96"/>
      <c r="F128" s="96"/>
      <c r="G128" s="96"/>
      <c r="H128" s="96"/>
      <c r="I128" s="96"/>
      <c r="J128" s="93"/>
    </row>
    <row r="129" spans="1:10" ht="15" thickBot="1" x14ac:dyDescent="0.4">
      <c r="A129" s="124"/>
      <c r="B129" s="17" t="s">
        <v>26</v>
      </c>
      <c r="C129" s="97"/>
      <c r="D129" s="98"/>
      <c r="E129" s="98"/>
      <c r="F129" s="98"/>
      <c r="G129" s="98"/>
      <c r="H129" s="98"/>
      <c r="I129" s="98"/>
      <c r="J129" s="99"/>
    </row>
    <row r="130" spans="1:10" x14ac:dyDescent="0.35">
      <c r="A130" s="122">
        <v>9</v>
      </c>
      <c r="B130" s="4" t="s">
        <v>27</v>
      </c>
      <c r="C130" s="74">
        <v>29.128710158895199</v>
      </c>
      <c r="D130" s="35">
        <f t="shared" ref="D130:J130" si="11">MAX(D117,D114)</f>
        <v>0.63305373224681305</v>
      </c>
      <c r="E130" s="35">
        <f t="shared" si="11"/>
        <v>-6.3632621957300803E-3</v>
      </c>
      <c r="F130" s="35">
        <f t="shared" si="11"/>
        <v>0.34337993069468498</v>
      </c>
      <c r="G130" s="35">
        <f t="shared" si="11"/>
        <v>6495.0818870000003</v>
      </c>
      <c r="H130" s="35">
        <f t="shared" si="11"/>
        <v>-0.41385774398680297</v>
      </c>
      <c r="I130" s="35">
        <f t="shared" si="11"/>
        <v>2.6985628851253902</v>
      </c>
      <c r="J130" s="39">
        <f t="shared" si="11"/>
        <v>9.9634556539706001</v>
      </c>
    </row>
    <row r="131" spans="1:10" x14ac:dyDescent="0.35">
      <c r="A131" s="123"/>
      <c r="B131" s="7" t="s">
        <v>28</v>
      </c>
      <c r="C131" s="75"/>
      <c r="D131" s="29"/>
      <c r="E131" s="29">
        <v>2.2946571377181899E-2</v>
      </c>
      <c r="F131" s="29">
        <v>0.122095032989917</v>
      </c>
      <c r="G131" s="72">
        <v>313.13795489299099</v>
      </c>
      <c r="H131" s="29">
        <v>2.7975476989126301E-2</v>
      </c>
      <c r="I131" s="31">
        <v>1.46819162815102E-2</v>
      </c>
      <c r="J131" s="30">
        <v>3.3096657789035103E-2</v>
      </c>
    </row>
    <row r="132" spans="1:10" x14ac:dyDescent="0.35">
      <c r="A132" s="123"/>
      <c r="B132" s="7" t="s">
        <v>33</v>
      </c>
      <c r="C132" s="75">
        <f t="shared" ref="C132:J132" si="12">C133-C130</f>
        <v>-44.912583651088198</v>
      </c>
      <c r="D132" s="29">
        <f t="shared" si="12"/>
        <v>-3.1149022246813041E-2</v>
      </c>
      <c r="E132" s="29">
        <f t="shared" si="12"/>
        <v>0</v>
      </c>
      <c r="F132" s="29">
        <f t="shared" si="12"/>
        <v>-0.15207456069468497</v>
      </c>
      <c r="G132" s="29">
        <f t="shared" si="12"/>
        <v>0</v>
      </c>
      <c r="H132" s="29">
        <f t="shared" si="12"/>
        <v>-8.337596151002602E-2</v>
      </c>
      <c r="I132" s="29">
        <f t="shared" si="12"/>
        <v>0</v>
      </c>
      <c r="J132" s="73">
        <f t="shared" si="12"/>
        <v>-4.4404962317100782E-2</v>
      </c>
    </row>
    <row r="133" spans="1:10" ht="15" thickBot="1" x14ac:dyDescent="0.4">
      <c r="A133" s="123"/>
      <c r="B133" s="10" t="s">
        <v>92</v>
      </c>
      <c r="C133" s="104">
        <v>-15.783873492193001</v>
      </c>
      <c r="D133" s="107">
        <v>0.60190471000000001</v>
      </c>
      <c r="E133" s="116">
        <v>-6.3632621957300803E-3</v>
      </c>
      <c r="F133" s="101">
        <v>0.19130537</v>
      </c>
      <c r="G133" s="80">
        <v>6495.0818870000003</v>
      </c>
      <c r="H133" s="101">
        <v>-0.49723370549682899</v>
      </c>
      <c r="I133" s="83">
        <v>2.6985628851253902</v>
      </c>
      <c r="J133" s="109">
        <v>9.9190506916534993</v>
      </c>
    </row>
    <row r="134" spans="1:10" x14ac:dyDescent="0.35">
      <c r="A134" s="123"/>
      <c r="B134" s="11" t="s">
        <v>16</v>
      </c>
      <c r="C134" s="106" t="s">
        <v>131</v>
      </c>
      <c r="D134" s="86" t="s">
        <v>91</v>
      </c>
      <c r="E134" s="86" t="s">
        <v>134</v>
      </c>
      <c r="F134" s="86" t="s">
        <v>120</v>
      </c>
      <c r="G134" s="87" t="s">
        <v>32</v>
      </c>
      <c r="H134" s="87"/>
      <c r="I134" s="87" t="s">
        <v>121</v>
      </c>
      <c r="J134" s="87" t="s">
        <v>121</v>
      </c>
    </row>
    <row r="135" spans="1:10" x14ac:dyDescent="0.35">
      <c r="A135" s="123"/>
      <c r="B135" s="14" t="s">
        <v>17</v>
      </c>
      <c r="C135" s="89"/>
      <c r="D135" s="90">
        <v>0.01</v>
      </c>
      <c r="E135" s="110">
        <v>0.01</v>
      </c>
      <c r="F135" s="91"/>
      <c r="G135" s="112">
        <v>0.01</v>
      </c>
      <c r="H135" s="90"/>
      <c r="I135" s="90"/>
      <c r="J135" s="93"/>
    </row>
    <row r="136" spans="1:10" x14ac:dyDescent="0.35">
      <c r="A136" s="123"/>
      <c r="B136" s="14" t="s">
        <v>31</v>
      </c>
      <c r="C136" s="94">
        <v>0.90700000000000003</v>
      </c>
      <c r="D136" s="90">
        <v>0.96599999999999997</v>
      </c>
      <c r="E136" s="90">
        <v>1.08</v>
      </c>
      <c r="F136" s="90"/>
      <c r="G136" s="90">
        <v>1.89</v>
      </c>
      <c r="H136" s="90"/>
      <c r="I136" s="90"/>
      <c r="J136" s="93"/>
    </row>
    <row r="137" spans="1:10" x14ac:dyDescent="0.35">
      <c r="A137" s="123"/>
      <c r="B137" s="14" t="s">
        <v>18</v>
      </c>
      <c r="C137" s="94"/>
      <c r="D137" s="90"/>
      <c r="E137" s="90"/>
      <c r="F137" s="90"/>
      <c r="G137" s="90"/>
      <c r="H137" s="90"/>
      <c r="I137" s="90"/>
      <c r="J137" s="93"/>
    </row>
    <row r="138" spans="1:10" x14ac:dyDescent="0.35">
      <c r="A138" s="123"/>
      <c r="B138" s="16" t="s">
        <v>19</v>
      </c>
      <c r="C138" s="94">
        <v>0.05</v>
      </c>
      <c r="D138" s="90">
        <v>8.1000000000000003E-2</v>
      </c>
      <c r="E138" s="90">
        <v>0.17699999999999999</v>
      </c>
      <c r="F138" s="90"/>
      <c r="G138" s="90">
        <v>0.48899999999999999</v>
      </c>
      <c r="H138" s="90"/>
      <c r="I138" s="90"/>
      <c r="J138" s="93"/>
    </row>
    <row r="139" spans="1:10" x14ac:dyDescent="0.35">
      <c r="A139" s="123"/>
      <c r="B139" s="16" t="s">
        <v>20</v>
      </c>
      <c r="C139" s="94"/>
      <c r="D139" s="90"/>
      <c r="E139" s="90">
        <v>0.17699999999999999</v>
      </c>
      <c r="F139" s="90"/>
      <c r="G139" s="90">
        <v>2.86</v>
      </c>
      <c r="H139" s="90"/>
      <c r="I139" s="90"/>
      <c r="J139" s="93"/>
    </row>
    <row r="140" spans="1:10" x14ac:dyDescent="0.35">
      <c r="A140" s="123"/>
      <c r="B140" s="16" t="s">
        <v>21</v>
      </c>
      <c r="C140" s="95"/>
      <c r="D140" s="96"/>
      <c r="E140" s="90">
        <v>0.17699999999999999</v>
      </c>
      <c r="F140" s="90"/>
      <c r="G140" s="90">
        <v>0.60599999999999998</v>
      </c>
      <c r="H140" s="90"/>
      <c r="I140" s="90"/>
      <c r="J140" s="93"/>
    </row>
    <row r="141" spans="1:10" x14ac:dyDescent="0.35">
      <c r="A141" s="123"/>
      <c r="B141" s="16" t="s">
        <v>22</v>
      </c>
      <c r="C141" s="95"/>
      <c r="D141" s="96"/>
      <c r="E141" s="96"/>
      <c r="F141" s="90"/>
      <c r="G141" s="90">
        <v>1.64</v>
      </c>
      <c r="H141" s="90"/>
      <c r="I141" s="90"/>
      <c r="J141" s="93"/>
    </row>
    <row r="142" spans="1:10" x14ac:dyDescent="0.35">
      <c r="A142" s="123"/>
      <c r="B142" s="16" t="s">
        <v>23</v>
      </c>
      <c r="C142" s="95"/>
      <c r="D142" s="96"/>
      <c r="E142" s="96"/>
      <c r="F142" s="96"/>
      <c r="G142" s="96"/>
      <c r="H142" s="90"/>
      <c r="I142" s="90"/>
      <c r="J142" s="93"/>
    </row>
    <row r="143" spans="1:10" x14ac:dyDescent="0.35">
      <c r="A143" s="123"/>
      <c r="B143" s="16" t="s">
        <v>24</v>
      </c>
      <c r="C143" s="95"/>
      <c r="D143" s="96"/>
      <c r="E143" s="96"/>
      <c r="F143" s="96"/>
      <c r="G143" s="96"/>
      <c r="H143" s="96"/>
      <c r="I143" s="90"/>
      <c r="J143" s="93"/>
    </row>
    <row r="144" spans="1:10" x14ac:dyDescent="0.35">
      <c r="A144" s="123"/>
      <c r="B144" s="16" t="s">
        <v>25</v>
      </c>
      <c r="C144" s="95"/>
      <c r="D144" s="96"/>
      <c r="E144" s="96"/>
      <c r="F144" s="96"/>
      <c r="G144" s="96"/>
      <c r="H144" s="96"/>
      <c r="I144" s="96"/>
      <c r="J144" s="93"/>
    </row>
    <row r="145" spans="1:10" ht="15" thickBot="1" x14ac:dyDescent="0.4">
      <c r="A145" s="124"/>
      <c r="B145" s="17" t="s">
        <v>26</v>
      </c>
      <c r="C145" s="97"/>
      <c r="D145" s="98"/>
      <c r="E145" s="98"/>
      <c r="F145" s="98"/>
      <c r="G145" s="98"/>
      <c r="H145" s="98"/>
      <c r="I145" s="98"/>
      <c r="J145" s="99"/>
    </row>
  </sheetData>
  <mergeCells count="9">
    <mergeCell ref="A130:A145"/>
    <mergeCell ref="A114:A129"/>
    <mergeCell ref="A98:A113"/>
    <mergeCell ref="A82:A97"/>
    <mergeCell ref="A2:A17"/>
    <mergeCell ref="A18:A33"/>
    <mergeCell ref="A34:A49"/>
    <mergeCell ref="A50:A65"/>
    <mergeCell ref="A66:A81"/>
  </mergeCells>
  <conditionalFormatting sqref="C36:J36">
    <cfRule type="cellIs" dxfId="13" priority="13" operator="lessThan">
      <formula>0</formula>
    </cfRule>
    <cfRule type="cellIs" dxfId="12" priority="14" operator="greaterThan">
      <formula>0</formula>
    </cfRule>
  </conditionalFormatting>
  <conditionalFormatting sqref="C52:J52">
    <cfRule type="cellIs" dxfId="11" priority="11" operator="lessThan">
      <formula>0</formula>
    </cfRule>
    <cfRule type="cellIs" dxfId="10" priority="12" operator="greaterThan">
      <formula>0</formula>
    </cfRule>
  </conditionalFormatting>
  <conditionalFormatting sqref="C68:J68">
    <cfRule type="cellIs" dxfId="9" priority="9" operator="lessThan">
      <formula>0</formula>
    </cfRule>
    <cfRule type="cellIs" dxfId="8" priority="10" operator="greaterThan">
      <formula>0</formula>
    </cfRule>
  </conditionalFormatting>
  <conditionalFormatting sqref="C84:J84">
    <cfRule type="cellIs" dxfId="7" priority="7" operator="lessThan">
      <formula>0</formula>
    </cfRule>
    <cfRule type="cellIs" dxfId="6" priority="8" operator="greaterThan">
      <formula>0</formula>
    </cfRule>
  </conditionalFormatting>
  <conditionalFormatting sqref="C100:J100">
    <cfRule type="cellIs" dxfId="5" priority="5" operator="lessThan">
      <formula>0</formula>
    </cfRule>
    <cfRule type="cellIs" dxfId="4" priority="6" operator="greaterThan">
      <formula>0</formula>
    </cfRule>
  </conditionalFormatting>
  <conditionalFormatting sqref="C116:J116">
    <cfRule type="cellIs" dxfId="3" priority="3" operator="lessThan">
      <formula>0</formula>
    </cfRule>
    <cfRule type="cellIs" dxfId="2" priority="4" operator="greaterThan">
      <formula>0</formula>
    </cfRule>
  </conditionalFormatting>
  <conditionalFormatting sqref="C132:J132">
    <cfRule type="cellIs" dxfId="1" priority="1" operator="lessThan">
      <formula>0</formula>
    </cfRule>
    <cfRule type="cellIs" dxfId="0" priority="2"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C68F-C969-4013-AA9C-020958AEE873}">
  <dimension ref="B8:C22"/>
  <sheetViews>
    <sheetView workbookViewId="0">
      <selection activeCell="I7" sqref="I7"/>
    </sheetView>
  </sheetViews>
  <sheetFormatPr defaultRowHeight="14.5" x14ac:dyDescent="0.35"/>
  <sheetData>
    <row r="8" spans="2:3" x14ac:dyDescent="0.35">
      <c r="B8" s="117">
        <v>47300</v>
      </c>
      <c r="C8" t="s">
        <v>149</v>
      </c>
    </row>
    <row r="9" spans="2:3" x14ac:dyDescent="0.35">
      <c r="B9" s="117">
        <v>46569</v>
      </c>
      <c r="C9" t="s">
        <v>149</v>
      </c>
    </row>
    <row r="10" spans="2:3" x14ac:dyDescent="0.35">
      <c r="B10" s="117">
        <v>45108</v>
      </c>
      <c r="C10" t="s">
        <v>149</v>
      </c>
    </row>
    <row r="11" spans="2:3" x14ac:dyDescent="0.35">
      <c r="B11" s="117">
        <v>44013</v>
      </c>
      <c r="C11" t="s">
        <v>149</v>
      </c>
    </row>
    <row r="12" spans="2:3" x14ac:dyDescent="0.35">
      <c r="B12" s="117">
        <v>42186</v>
      </c>
      <c r="C12" t="s">
        <v>149</v>
      </c>
    </row>
    <row r="13" spans="2:3" x14ac:dyDescent="0.35">
      <c r="B13" s="117">
        <v>41456</v>
      </c>
      <c r="C13" t="s">
        <v>149</v>
      </c>
    </row>
    <row r="14" spans="2:3" x14ac:dyDescent="0.35">
      <c r="B14" s="117">
        <v>37073</v>
      </c>
      <c r="C14" t="s">
        <v>149</v>
      </c>
    </row>
    <row r="22" spans="2:3" x14ac:dyDescent="0.35">
      <c r="B22" s="117">
        <v>37043</v>
      </c>
      <c r="C22"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Pts</vt:lpstr>
      <vt:lpstr>Functions</vt:lpstr>
      <vt:lpstr>Track</vt:lpstr>
      <vt:lpstr>Live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Barnett</dc:creator>
  <cp:lastModifiedBy>Steve Barnett</cp:lastModifiedBy>
  <dcterms:created xsi:type="dcterms:W3CDTF">2026-05-31T14:42:50Z</dcterms:created>
  <dcterms:modified xsi:type="dcterms:W3CDTF">2026-08-03T22:20:10Z</dcterms:modified>
</cp:coreProperties>
</file>